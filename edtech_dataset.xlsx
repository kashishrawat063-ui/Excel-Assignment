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tech_dataset" sheetId="1" r:id="rId4"/>
    <sheet state="visible" name="Q10 " sheetId="2" r:id="rId5"/>
    <sheet state="visible" name="Q11" sheetId="3" r:id="rId6"/>
    <sheet state="visible" name="Q12" sheetId="4" r:id="rId7"/>
    <sheet state="visible" name="Q13" sheetId="5" r:id="rId8"/>
    <sheet state="visible" name="Q14" sheetId="6" r:id="rId9"/>
  </sheets>
  <definedNames>
    <definedName hidden="1" localSheetId="0" name="Z_0EE7A2B2_B2CC_434A_B8DA_1DB152EBD244_.wvu.FilterData">edtech_dataset!$A$2:$P$1002</definedName>
    <definedName name="SlicerCache_Table_1_Col_6">#N/A</definedName>
    <definedName name="SlicerCache_Table_1_Col_7">#N/A</definedName>
  </definedNames>
  <calcPr/>
  <customWorkbookViews>
    <customWorkbookView activeSheetId="0" maximized="1" windowHeight="0" windowWidth="0" guid="{0EE7A2B2-B2CC-434A-B8DA-1DB152EBD244}" name="Filter 1"/>
  </customWorkbookViews>
  <pivotCaches>
    <pivotCache cacheId="0" r:id="rId10"/>
  </pivotCaches>
  <extLst>
    <ext uri="GoogleSheetsCustomDataVersion2">
      <go:sheetsCustomData xmlns:go="http://customooxmlschemas.google.com/" r:id="rId13" roundtripDataChecksum="fZkrRJ8rbbqzn5VzytHGFvn4G9lj7m2bPK7EAu5Wqx8="/>
    </ext>
    <ext uri="{46BE6895-7355-4a93-B00E-2C351335B9C9}">
      <x15:slicerCaches>
        <x14:slicerCache r:id="rId11"/>
        <x14:slicerCache r:id="rId12"/>
      </x15:slicerCaches>
    </ext>
  </extLst>
</workbook>
</file>

<file path=xl/sharedStrings.xml><?xml version="1.0" encoding="utf-8"?>
<sst xmlns="http://schemas.openxmlformats.org/spreadsheetml/2006/main" count="16778" uniqueCount="1342">
  <si>
    <t>Table to work</t>
  </si>
  <si>
    <t>StudentID</t>
  </si>
  <si>
    <t xml:space="preserve">SUM of </t>
  </si>
  <si>
    <t>StudentName</t>
  </si>
  <si>
    <t>CourseID</t>
  </si>
  <si>
    <t>CourseName</t>
  </si>
  <si>
    <t>BatchID</t>
  </si>
  <si>
    <t>MentorName</t>
  </si>
  <si>
    <t>Platform</t>
  </si>
  <si>
    <t>PaymentAmount</t>
  </si>
  <si>
    <t>DiscountCode</t>
  </si>
  <si>
    <t>Mobile</t>
  </si>
  <si>
    <t>Tablet</t>
  </si>
  <si>
    <t>Web</t>
  </si>
  <si>
    <t>Grand Total</t>
  </si>
  <si>
    <t>S1000</t>
  </si>
  <si>
    <t>Data Analytics</t>
  </si>
  <si>
    <t>Rohit Shah</t>
  </si>
  <si>
    <t>C201</t>
  </si>
  <si>
    <t>Data Science</t>
  </si>
  <si>
    <t>B3</t>
  </si>
  <si>
    <t>Priya</t>
  </si>
  <si>
    <t>Full Stack Dev</t>
  </si>
  <si>
    <t>DISC20</t>
  </si>
  <si>
    <t>UI UX Design</t>
  </si>
  <si>
    <t>Question 5</t>
  </si>
  <si>
    <t>Q6</t>
  </si>
  <si>
    <t>Q8</t>
  </si>
  <si>
    <t>DiscountPercent</t>
  </si>
  <si>
    <t>TargetRevenue</t>
  </si>
  <si>
    <t>PaymentDate</t>
  </si>
  <si>
    <t>Target Revenue</t>
  </si>
  <si>
    <t>Percentage</t>
  </si>
  <si>
    <t xml:space="preserve">New Discount Percent </t>
  </si>
  <si>
    <t>Net Revenue</t>
  </si>
  <si>
    <t>S1001</t>
  </si>
  <si>
    <t>Riya Singh</t>
  </si>
  <si>
    <t>DISC10</t>
  </si>
  <si>
    <t>17-02-2024</t>
  </si>
  <si>
    <t>S1002</t>
  </si>
  <si>
    <t>Sneha Gupta</t>
  </si>
  <si>
    <t>Saurabh</t>
  </si>
  <si>
    <t>DISC15</t>
  </si>
  <si>
    <t>S1003</t>
  </si>
  <si>
    <t>Sneha Iyer</t>
  </si>
  <si>
    <t>C203</t>
  </si>
  <si>
    <t>B1</t>
  </si>
  <si>
    <t>DISC30</t>
  </si>
  <si>
    <t>S1004</t>
  </si>
  <si>
    <t>Karan Patil</t>
  </si>
  <si>
    <t>S1005</t>
  </si>
  <si>
    <t>Pooja Joshi</t>
  </si>
  <si>
    <t>Amit</t>
  </si>
  <si>
    <t>S1006</t>
  </si>
  <si>
    <t>Rahul Shah</t>
  </si>
  <si>
    <t>S1007</t>
  </si>
  <si>
    <t>Riya Kulkarni</t>
  </si>
  <si>
    <t>C202</t>
  </si>
  <si>
    <t>B2</t>
  </si>
  <si>
    <t>S1008</t>
  </si>
  <si>
    <t>Aditya Iyer</t>
  </si>
  <si>
    <t>S1009</t>
  </si>
  <si>
    <t>Kunal Singh</t>
  </si>
  <si>
    <t>S1010</t>
  </si>
  <si>
    <t>Neha Verma</t>
  </si>
  <si>
    <t>14-01-2024</t>
  </si>
  <si>
    <t>S1011</t>
  </si>
  <si>
    <t>Dev Patel</t>
  </si>
  <si>
    <t>27-01-2024</t>
  </si>
  <si>
    <t>S1012</t>
  </si>
  <si>
    <t>Sneha Joshi</t>
  </si>
  <si>
    <t>S1013</t>
  </si>
  <si>
    <t>Aditya Mehta</t>
  </si>
  <si>
    <t>18-01-2024</t>
  </si>
  <si>
    <t>S1014</t>
  </si>
  <si>
    <t>Kunal Joshi</t>
  </si>
  <si>
    <t>C204</t>
  </si>
  <si>
    <t>24-02-2024</t>
  </si>
  <si>
    <t>S1015</t>
  </si>
  <si>
    <t>Dev Kulkarni</t>
  </si>
  <si>
    <t>29-02-2024</t>
  </si>
  <si>
    <t>S1016</t>
  </si>
  <si>
    <t>Riya Verma</t>
  </si>
  <si>
    <t>15-02-2024</t>
  </si>
  <si>
    <t>S1017</t>
  </si>
  <si>
    <t>Aarav Singh</t>
  </si>
  <si>
    <t>Q1</t>
  </si>
  <si>
    <t>S1018</t>
  </si>
  <si>
    <t>25-01-2024</t>
  </si>
  <si>
    <t>Aditya Verma</t>
  </si>
  <si>
    <t>Course ID</t>
  </si>
  <si>
    <t>S1019</t>
  </si>
  <si>
    <t>Dev Mehta</t>
  </si>
  <si>
    <t>Course Name</t>
  </si>
  <si>
    <t>SUM of PaymentAmount</t>
  </si>
  <si>
    <t>SUM of Net Revenue</t>
  </si>
  <si>
    <t>14-02-2024</t>
  </si>
  <si>
    <t>S1020</t>
  </si>
  <si>
    <t>Karan Jain</t>
  </si>
  <si>
    <t>S1021</t>
  </si>
  <si>
    <t>Aarav Shah</t>
  </si>
  <si>
    <t>S1022</t>
  </si>
  <si>
    <t>Riya Shah</t>
  </si>
  <si>
    <t>11/1/2024</t>
  </si>
  <si>
    <t>S1023</t>
  </si>
  <si>
    <t>Manish Mehta</t>
  </si>
  <si>
    <t>23-02-2024</t>
  </si>
  <si>
    <t>S1024</t>
  </si>
  <si>
    <t>Manish Patel</t>
  </si>
  <si>
    <t>5/1/2024</t>
  </si>
  <si>
    <t>S1025</t>
  </si>
  <si>
    <t>Kunal Gupta</t>
  </si>
  <si>
    <t>S1026</t>
  </si>
  <si>
    <t>Kavita Gupta</t>
  </si>
  <si>
    <t>10/1/2024</t>
  </si>
  <si>
    <t>S1027</t>
  </si>
  <si>
    <t>S1028</t>
  </si>
  <si>
    <t>28-01-2024</t>
  </si>
  <si>
    <t>S1029</t>
  </si>
  <si>
    <t>Rohit Verma</t>
  </si>
  <si>
    <t>Q2</t>
  </si>
  <si>
    <t>S1030</t>
  </si>
  <si>
    <t>Rohit Singh</t>
  </si>
  <si>
    <t>6/1/2024</t>
  </si>
  <si>
    <t>S1031</t>
  </si>
  <si>
    <t>Sneha Patil</t>
  </si>
  <si>
    <t>S1032</t>
  </si>
  <si>
    <t>Meera Shah</t>
  </si>
  <si>
    <t>Calculate the total number of enrollments Made through the Mobile platform.</t>
  </si>
  <si>
    <t>S1033</t>
  </si>
  <si>
    <t>8/2/2024</t>
  </si>
  <si>
    <t>S1034</t>
  </si>
  <si>
    <t>Rahul Kulkarni</t>
  </si>
  <si>
    <t>S1035</t>
  </si>
  <si>
    <t>Rahul Desai</t>
  </si>
  <si>
    <t>S1036</t>
  </si>
  <si>
    <t>Anjali Gupta</t>
  </si>
  <si>
    <t>S1037</t>
  </si>
  <si>
    <t>Manish Nair</t>
  </si>
  <si>
    <t>25-02-2024</t>
  </si>
  <si>
    <t>S1038</t>
  </si>
  <si>
    <t>Kavita Shah</t>
  </si>
  <si>
    <t>S1039</t>
  </si>
  <si>
    <t>Aarav Joshi</t>
  </si>
  <si>
    <t>S1040</t>
  </si>
  <si>
    <t>Kunal Rao</t>
  </si>
  <si>
    <t>S1041</t>
  </si>
  <si>
    <t>8/1/2024</t>
  </si>
  <si>
    <t>Karan Singh</t>
  </si>
  <si>
    <t>S1042</t>
  </si>
  <si>
    <t>Q3</t>
  </si>
  <si>
    <t>S1043</t>
  </si>
  <si>
    <t>Pooja Shah</t>
  </si>
  <si>
    <t>S1044</t>
  </si>
  <si>
    <t>Aditya Joshi</t>
  </si>
  <si>
    <t>2/2/2024</t>
  </si>
  <si>
    <t>S1045</t>
  </si>
  <si>
    <t>Kunal Mehta</t>
  </si>
  <si>
    <t>S1046</t>
  </si>
  <si>
    <t>S1047</t>
  </si>
  <si>
    <t>Neha Rao</t>
  </si>
  <si>
    <t>Find the total PaymentAmount generated from the Data Analytics course.</t>
  </si>
  <si>
    <t>S1048</t>
  </si>
  <si>
    <t>Aarav Jain</t>
  </si>
  <si>
    <t>13-01-2024</t>
  </si>
  <si>
    <t>S1049</t>
  </si>
  <si>
    <t>Anjali Verma</t>
  </si>
  <si>
    <t>S1050</t>
  </si>
  <si>
    <t>Aarav Nair</t>
  </si>
  <si>
    <t>S1051</t>
  </si>
  <si>
    <t>Aditya Jain</t>
  </si>
  <si>
    <t>S1052</t>
  </si>
  <si>
    <t>Dev Gupta</t>
  </si>
  <si>
    <t>S1053</t>
  </si>
  <si>
    <t>Karan Patel</t>
  </si>
  <si>
    <t>S1054</t>
  </si>
  <si>
    <t>Kunal Verma</t>
  </si>
  <si>
    <t>1/2/2024</t>
  </si>
  <si>
    <t>S1055</t>
  </si>
  <si>
    <t>S1056</t>
  </si>
  <si>
    <t>Dev Nair</t>
  </si>
  <si>
    <t>S1057</t>
  </si>
  <si>
    <t>Aditya Nair</t>
  </si>
  <si>
    <t>1/3/2024</t>
  </si>
  <si>
    <t>S1058</t>
  </si>
  <si>
    <t>Meera Gupta</t>
  </si>
  <si>
    <t>S1059</t>
  </si>
  <si>
    <t>S1060</t>
  </si>
  <si>
    <t>S1061</t>
  </si>
  <si>
    <t>Kunal Patel</t>
  </si>
  <si>
    <t>Q4</t>
  </si>
  <si>
    <t>S1062</t>
  </si>
  <si>
    <t>Pooja Singh</t>
  </si>
  <si>
    <t>S1063</t>
  </si>
  <si>
    <t>S1064</t>
  </si>
  <si>
    <t>Anjali Mehta</t>
  </si>
  <si>
    <t>S1065</t>
  </si>
  <si>
    <t>Rahul Patel</t>
  </si>
  <si>
    <t>Create a dynamic lookup where entering a StudentID returns the corresponding MentorName.</t>
  </si>
  <si>
    <t>S1066</t>
  </si>
  <si>
    <t>Neha Patel</t>
  </si>
  <si>
    <t>S1067</t>
  </si>
  <si>
    <t>Riya Nair</t>
  </si>
  <si>
    <t>29-01-2024</t>
  </si>
  <si>
    <t>S1068</t>
  </si>
  <si>
    <t>Aarav Kulkarni</t>
  </si>
  <si>
    <t>S1069</t>
  </si>
  <si>
    <t>Rohit Joshi</t>
  </si>
  <si>
    <t>Student ID</t>
  </si>
  <si>
    <t xml:space="preserve">Mentor name </t>
  </si>
  <si>
    <t>S1070</t>
  </si>
  <si>
    <t>2/1/2024</t>
  </si>
  <si>
    <t>S1071</t>
  </si>
  <si>
    <t>Aarav Gupta</t>
  </si>
  <si>
    <t>S1072</t>
  </si>
  <si>
    <t>Manish Gupta</t>
  </si>
  <si>
    <t>S1073</t>
  </si>
  <si>
    <t>S1074</t>
  </si>
  <si>
    <t>Sneha Nair</t>
  </si>
  <si>
    <t>S1075</t>
  </si>
  <si>
    <t>Riya Desai</t>
  </si>
  <si>
    <t>15-01-2024</t>
  </si>
  <si>
    <t>S1076</t>
  </si>
  <si>
    <t>Karan Mehta</t>
  </si>
  <si>
    <t>S1077</t>
  </si>
  <si>
    <t>Rahul Verma</t>
  </si>
  <si>
    <t>S1078</t>
  </si>
  <si>
    <t>Category</t>
  </si>
  <si>
    <t>S1079</t>
  </si>
  <si>
    <t>Dev Verma</t>
  </si>
  <si>
    <t>S1080</t>
  </si>
  <si>
    <t>S1081</t>
  </si>
  <si>
    <t>S1082</t>
  </si>
  <si>
    <t>Manish Kulkarni</t>
  </si>
  <si>
    <t>7/1/2024</t>
  </si>
  <si>
    <t>Revenue Generated</t>
  </si>
  <si>
    <t>S1083</t>
  </si>
  <si>
    <t>Rahul Mehta</t>
  </si>
  <si>
    <t>13-02-2024</t>
  </si>
  <si>
    <t>S1084</t>
  </si>
  <si>
    <t>Neha Jain</t>
  </si>
  <si>
    <t>S1085</t>
  </si>
  <si>
    <t>Aarav Desai</t>
  </si>
  <si>
    <t>S1086</t>
  </si>
  <si>
    <t>Aarav Patil</t>
  </si>
  <si>
    <t>16-01-2024</t>
  </si>
  <si>
    <t>S1087</t>
  </si>
  <si>
    <t>S1088</t>
  </si>
  <si>
    <t>Kavita Joshi</t>
  </si>
  <si>
    <t>S1089</t>
  </si>
  <si>
    <t>S1090</t>
  </si>
  <si>
    <t>Meera Singh</t>
  </si>
  <si>
    <t>S1091</t>
  </si>
  <si>
    <t>Riya Patel</t>
  </si>
  <si>
    <t>S1092</t>
  </si>
  <si>
    <t>Manish Singh</t>
  </si>
  <si>
    <t>S1093</t>
  </si>
  <si>
    <t>Rohit Nair</t>
  </si>
  <si>
    <t>Q7</t>
  </si>
  <si>
    <t>S1094</t>
  </si>
  <si>
    <t>S1095</t>
  </si>
  <si>
    <t>Meera Patil</t>
  </si>
  <si>
    <t>S1096</t>
  </si>
  <si>
    <t>Kavita Singh</t>
  </si>
  <si>
    <t>Create a dynamic lookup where entering a StudentName returns the corresponding Platform using INDEX and MATCH functions only.</t>
  </si>
  <si>
    <t>S1097</t>
  </si>
  <si>
    <t>Neha Patil</t>
  </si>
  <si>
    <t>S1098</t>
  </si>
  <si>
    <t>19-01-2024</t>
  </si>
  <si>
    <t>S1099</t>
  </si>
  <si>
    <t>Student Name</t>
  </si>
  <si>
    <t>S1100</t>
  </si>
  <si>
    <t>S1101</t>
  </si>
  <si>
    <t>S1102</t>
  </si>
  <si>
    <t>Manish Jain</t>
  </si>
  <si>
    <t>7/2/2024</t>
  </si>
  <si>
    <t>S1103</t>
  </si>
  <si>
    <t>S1104</t>
  </si>
  <si>
    <t>Sneha Desai</t>
  </si>
  <si>
    <t>S1105</t>
  </si>
  <si>
    <t>Aditya Shah</t>
  </si>
  <si>
    <t>S1106</t>
  </si>
  <si>
    <t>S1107</t>
  </si>
  <si>
    <t>31-01-2024</t>
  </si>
  <si>
    <t>S1108</t>
  </si>
  <si>
    <t>S1109</t>
  </si>
  <si>
    <t>Neha Shah</t>
  </si>
  <si>
    <t>S1110</t>
  </si>
  <si>
    <t>Sneha Shah</t>
  </si>
  <si>
    <t>S1111</t>
  </si>
  <si>
    <t>Neha Iyer</t>
  </si>
  <si>
    <t>S1112</t>
  </si>
  <si>
    <t>Kavita Desai</t>
  </si>
  <si>
    <t>S1113</t>
  </si>
  <si>
    <t>Sneha Mehta</t>
  </si>
  <si>
    <t>S1114</t>
  </si>
  <si>
    <t>Aditya Kulkarni</t>
  </si>
  <si>
    <t>S1115</t>
  </si>
  <si>
    <t>Rohit Patil</t>
  </si>
  <si>
    <t>S1116</t>
  </si>
  <si>
    <t>Riya Gupta</t>
  </si>
  <si>
    <t>S1117</t>
  </si>
  <si>
    <t>Aarav Mehta</t>
  </si>
  <si>
    <t>21-01-2024</t>
  </si>
  <si>
    <t>S1118</t>
  </si>
  <si>
    <t>Riya Iyer</t>
  </si>
  <si>
    <t>S1119</t>
  </si>
  <si>
    <t>Date</t>
  </si>
  <si>
    <t>1/1/2024</t>
  </si>
  <si>
    <t>S1120</t>
  </si>
  <si>
    <t>Riya Patil</t>
  </si>
  <si>
    <t>S1121</t>
  </si>
  <si>
    <t>10/2/2024</t>
  </si>
  <si>
    <t>11/2/2024</t>
  </si>
  <si>
    <t>26-01-2024</t>
  </si>
  <si>
    <t>S1122</t>
  </si>
  <si>
    <t>12/1/2024</t>
  </si>
  <si>
    <t>12/2/2024</t>
  </si>
  <si>
    <t>S1123</t>
  </si>
  <si>
    <t>16-02-2024</t>
  </si>
  <si>
    <t>17-01-2024</t>
  </si>
  <si>
    <t>S1124</t>
  </si>
  <si>
    <t>9/2/2024</t>
  </si>
  <si>
    <t>18-02-2024</t>
  </si>
  <si>
    <t>19-02-2024</t>
  </si>
  <si>
    <t>S1125</t>
  </si>
  <si>
    <t>S1126</t>
  </si>
  <si>
    <t>20-01-2024</t>
  </si>
  <si>
    <t>20-02-2024</t>
  </si>
  <si>
    <t>S1127</t>
  </si>
  <si>
    <t>21-02-2024</t>
  </si>
  <si>
    <t>Karan Rao</t>
  </si>
  <si>
    <t>22-01-2024</t>
  </si>
  <si>
    <t>22-02-2024</t>
  </si>
  <si>
    <t>23-01-2024</t>
  </si>
  <si>
    <t>S1128</t>
  </si>
  <si>
    <t>24-01-2024</t>
  </si>
  <si>
    <t>26-02-2024</t>
  </si>
  <si>
    <t>27-02-2024</t>
  </si>
  <si>
    <t>S1129</t>
  </si>
  <si>
    <t>28-02-2024</t>
  </si>
  <si>
    <t>3/1/2024</t>
  </si>
  <si>
    <t>S1130</t>
  </si>
  <si>
    <t>Kunal Desai</t>
  </si>
  <si>
    <t>3/2/2024</t>
  </si>
  <si>
    <t>30-01-2024</t>
  </si>
  <si>
    <t>S1131</t>
  </si>
  <si>
    <t>4/1/2024</t>
  </si>
  <si>
    <t>4/2/2024</t>
  </si>
  <si>
    <t>5/2/2024</t>
  </si>
  <si>
    <t>S1132</t>
  </si>
  <si>
    <t>Riya Rao</t>
  </si>
  <si>
    <t>6/2/2024</t>
  </si>
  <si>
    <t>9/1/2024</t>
  </si>
  <si>
    <t>S1133</t>
  </si>
  <si>
    <t>Anjali Rao</t>
  </si>
  <si>
    <t>S1134</t>
  </si>
  <si>
    <t>Q8- part 2</t>
  </si>
  <si>
    <t>S1135</t>
  </si>
  <si>
    <t>Rahul Patil</t>
  </si>
  <si>
    <t>S1136</t>
  </si>
  <si>
    <t>Rohit Patel</t>
  </si>
  <si>
    <t>S1137</t>
  </si>
  <si>
    <t>Total Revenue Before Discount</t>
  </si>
  <si>
    <t>S1138</t>
  </si>
  <si>
    <t>S1139</t>
  </si>
  <si>
    <t>Rahul Singh</t>
  </si>
  <si>
    <t>S1140</t>
  </si>
  <si>
    <t>Anjali Patel</t>
  </si>
  <si>
    <t>S1141</t>
  </si>
  <si>
    <t>Rohit Rao</t>
  </si>
  <si>
    <t>S1142</t>
  </si>
  <si>
    <t>Karan Desai</t>
  </si>
  <si>
    <t>S1143</t>
  </si>
  <si>
    <t>Pooja Jain</t>
  </si>
  <si>
    <t>Total Revenue after Discount</t>
  </si>
  <si>
    <t>S1144</t>
  </si>
  <si>
    <t>S1145</t>
  </si>
  <si>
    <t>S1146</t>
  </si>
  <si>
    <t>Aditya Singh</t>
  </si>
  <si>
    <t>S1147</t>
  </si>
  <si>
    <t>S1148</t>
  </si>
  <si>
    <t>Aditya Patil</t>
  </si>
  <si>
    <t>total discount amount</t>
  </si>
  <si>
    <t>S1149</t>
  </si>
  <si>
    <t>Kavita Rao</t>
  </si>
  <si>
    <t>S1150</t>
  </si>
  <si>
    <t>S1151</t>
  </si>
  <si>
    <t>Dev Patil</t>
  </si>
  <si>
    <t>S1152</t>
  </si>
  <si>
    <t>Dev Desai</t>
  </si>
  <si>
    <t>S1153</t>
  </si>
  <si>
    <t>Dev Iyer</t>
  </si>
  <si>
    <t>S1154</t>
  </si>
  <si>
    <t>Q9</t>
  </si>
  <si>
    <t>S1155</t>
  </si>
  <si>
    <t>Pooja Gupta</t>
  </si>
  <si>
    <t>S1156</t>
  </si>
  <si>
    <t>Meera Jain</t>
  </si>
  <si>
    <t>S1157</t>
  </si>
  <si>
    <t>Rohit Desai</t>
  </si>
  <si>
    <t>Count numbers where platmoform is web and course in Analytics Platform</t>
  </si>
  <si>
    <t>S1158</t>
  </si>
  <si>
    <t>Aditya Gupta</t>
  </si>
  <si>
    <t>S1159</t>
  </si>
  <si>
    <t>Rahul Nair</t>
  </si>
  <si>
    <t>S1160</t>
  </si>
  <si>
    <t>S1161</t>
  </si>
  <si>
    <t>S1162</t>
  </si>
  <si>
    <t>S1163</t>
  </si>
  <si>
    <t>S1164</t>
  </si>
  <si>
    <t>S1165</t>
  </si>
  <si>
    <t>S1166</t>
  </si>
  <si>
    <t>Rohit Jain</t>
  </si>
  <si>
    <t>S1167</t>
  </si>
  <si>
    <t>Meera Nair</t>
  </si>
  <si>
    <t>S1168</t>
  </si>
  <si>
    <t>Aarav Patel</t>
  </si>
  <si>
    <t>S1169</t>
  </si>
  <si>
    <t>S1170</t>
  </si>
  <si>
    <t>S1171</t>
  </si>
  <si>
    <t>Karan Shah</t>
  </si>
  <si>
    <t>Q 13</t>
  </si>
  <si>
    <t>S1172</t>
  </si>
  <si>
    <t>Pooja Kulkarni</t>
  </si>
  <si>
    <t>S1173</t>
  </si>
  <si>
    <t>S1174</t>
  </si>
  <si>
    <t>Neha Gupta</t>
  </si>
  <si>
    <t>S1175</t>
  </si>
  <si>
    <t>Neha Singh</t>
  </si>
  <si>
    <t>S1176</t>
  </si>
  <si>
    <t>Anjali Iyer</t>
  </si>
  <si>
    <t>S1177</t>
  </si>
  <si>
    <t>S1178</t>
  </si>
  <si>
    <t>Kavita Verma</t>
  </si>
  <si>
    <t>S1179</t>
  </si>
  <si>
    <t>S1180</t>
  </si>
  <si>
    <t>S1181</t>
  </si>
  <si>
    <t>S1182</t>
  </si>
  <si>
    <t>Anjali Desai</t>
  </si>
  <si>
    <t>S1183</t>
  </si>
  <si>
    <t>S1184</t>
  </si>
  <si>
    <t>S1185</t>
  </si>
  <si>
    <t>Manish Patil</t>
  </si>
  <si>
    <t>S1186</t>
  </si>
  <si>
    <t>S1187</t>
  </si>
  <si>
    <t>Total Revenue</t>
  </si>
  <si>
    <t>S1188</t>
  </si>
  <si>
    <t>Aditya Desai</t>
  </si>
  <si>
    <t>S1189</t>
  </si>
  <si>
    <t>S1190</t>
  </si>
  <si>
    <t>Average Payment</t>
  </si>
  <si>
    <t>S1191</t>
  </si>
  <si>
    <t>S1192</t>
  </si>
  <si>
    <t>S1193</t>
  </si>
  <si>
    <t>Kavita Iyer</t>
  </si>
  <si>
    <t>% Target Achieved:</t>
  </si>
  <si>
    <t>S1194</t>
  </si>
  <si>
    <t>S1195</t>
  </si>
  <si>
    <t>Kavita Kulkarni</t>
  </si>
  <si>
    <t>S1196</t>
  </si>
  <si>
    <t>Aditya Rao</t>
  </si>
  <si>
    <t>S1197</t>
  </si>
  <si>
    <t>Karan Verma</t>
  </si>
  <si>
    <t>S1198</t>
  </si>
  <si>
    <t>S1199</t>
  </si>
  <si>
    <t>S1200</t>
  </si>
  <si>
    <t>S1201</t>
  </si>
  <si>
    <t>S1202</t>
  </si>
  <si>
    <t>S1203</t>
  </si>
  <si>
    <t>S1204</t>
  </si>
  <si>
    <t>Anjali Nair</t>
  </si>
  <si>
    <t>S1205</t>
  </si>
  <si>
    <t>Kavita Mehta</t>
  </si>
  <si>
    <t>S1206</t>
  </si>
  <si>
    <t>S1207</t>
  </si>
  <si>
    <t>S1208</t>
  </si>
  <si>
    <t>S1209</t>
  </si>
  <si>
    <t>S1210</t>
  </si>
  <si>
    <t>S1211</t>
  </si>
  <si>
    <t>S1212</t>
  </si>
  <si>
    <t>S1213</t>
  </si>
  <si>
    <t>Manish Joshi</t>
  </si>
  <si>
    <t>S1214</t>
  </si>
  <si>
    <t>S1215</t>
  </si>
  <si>
    <t>S1216</t>
  </si>
  <si>
    <t>S1217</t>
  </si>
  <si>
    <t>S1218</t>
  </si>
  <si>
    <t>Manish Verma</t>
  </si>
  <si>
    <t>S1219</t>
  </si>
  <si>
    <t>S1220</t>
  </si>
  <si>
    <t>Sneha Jain</t>
  </si>
  <si>
    <t>S1221</t>
  </si>
  <si>
    <t>Meera Patel</t>
  </si>
  <si>
    <t>S1222</t>
  </si>
  <si>
    <t>S1223</t>
  </si>
  <si>
    <t>S1224</t>
  </si>
  <si>
    <t>Anjali Patil</t>
  </si>
  <si>
    <t>S1225</t>
  </si>
  <si>
    <t>S1226</t>
  </si>
  <si>
    <t>S1227</t>
  </si>
  <si>
    <t>Sneha Patel</t>
  </si>
  <si>
    <t>S1228</t>
  </si>
  <si>
    <t>Kunal Shah</t>
  </si>
  <si>
    <t>S1229</t>
  </si>
  <si>
    <t>S1230</t>
  </si>
  <si>
    <t>Aarav Verma</t>
  </si>
  <si>
    <t>S1231</t>
  </si>
  <si>
    <t>Pooja Patil</t>
  </si>
  <si>
    <t>S1232</t>
  </si>
  <si>
    <t>S1233</t>
  </si>
  <si>
    <t>S1234</t>
  </si>
  <si>
    <t>Meera Mehta</t>
  </si>
  <si>
    <t>S1235</t>
  </si>
  <si>
    <t>Sneha Verma</t>
  </si>
  <si>
    <t>S1236</t>
  </si>
  <si>
    <t>Rohit Gupta</t>
  </si>
  <si>
    <t>S1237</t>
  </si>
  <si>
    <t>S1238</t>
  </si>
  <si>
    <t>S1239</t>
  </si>
  <si>
    <t>S1240</t>
  </si>
  <si>
    <t>S1241</t>
  </si>
  <si>
    <t>Rohit Mehta</t>
  </si>
  <si>
    <t>S1242</t>
  </si>
  <si>
    <t>S1243</t>
  </si>
  <si>
    <t>S1244</t>
  </si>
  <si>
    <t>Dev Singh</t>
  </si>
  <si>
    <t>S1245</t>
  </si>
  <si>
    <t>S1246</t>
  </si>
  <si>
    <t>Karan Iyer</t>
  </si>
  <si>
    <t>S1247</t>
  </si>
  <si>
    <t>S1248</t>
  </si>
  <si>
    <t>Riya Jain</t>
  </si>
  <si>
    <t>S1249</t>
  </si>
  <si>
    <t>S1250</t>
  </si>
  <si>
    <t>Rahul Rao</t>
  </si>
  <si>
    <t>S1251</t>
  </si>
  <si>
    <t>S1252</t>
  </si>
  <si>
    <t>S1253</t>
  </si>
  <si>
    <t>S1254</t>
  </si>
  <si>
    <t>Karan Gupta</t>
  </si>
  <si>
    <t>S1255</t>
  </si>
  <si>
    <t>S1256</t>
  </si>
  <si>
    <t>Aditya Patel</t>
  </si>
  <si>
    <t>S1257</t>
  </si>
  <si>
    <t>Kunal Iyer</t>
  </si>
  <si>
    <t>S1258</t>
  </si>
  <si>
    <t>S1259</t>
  </si>
  <si>
    <t>Manish Rao</t>
  </si>
  <si>
    <t>S1260</t>
  </si>
  <si>
    <t>S1261</t>
  </si>
  <si>
    <t>S1262</t>
  </si>
  <si>
    <t>S1263</t>
  </si>
  <si>
    <t>S1264</t>
  </si>
  <si>
    <t>Kunal Nair</t>
  </si>
  <si>
    <t>S1265</t>
  </si>
  <si>
    <t>S1266</t>
  </si>
  <si>
    <t>S1267</t>
  </si>
  <si>
    <t>S1268</t>
  </si>
  <si>
    <t>S1269</t>
  </si>
  <si>
    <t>Meera Joshi</t>
  </si>
  <si>
    <t>S1270</t>
  </si>
  <si>
    <t>S1271</t>
  </si>
  <si>
    <t>S1272</t>
  </si>
  <si>
    <t>Anjali Kulkarni</t>
  </si>
  <si>
    <t>S1273</t>
  </si>
  <si>
    <t>S1274</t>
  </si>
  <si>
    <t>S1275</t>
  </si>
  <si>
    <t>S1276</t>
  </si>
  <si>
    <t>S1277</t>
  </si>
  <si>
    <t>S1278</t>
  </si>
  <si>
    <t>S1279</t>
  </si>
  <si>
    <t>S1280</t>
  </si>
  <si>
    <t>S1281</t>
  </si>
  <si>
    <t>Rahul Jain</t>
  </si>
  <si>
    <t>S1282</t>
  </si>
  <si>
    <t>S1283</t>
  </si>
  <si>
    <t>S1284</t>
  </si>
  <si>
    <t>Pooja Patel</t>
  </si>
  <si>
    <t>S1285</t>
  </si>
  <si>
    <t>S1286</t>
  </si>
  <si>
    <t>S1287</t>
  </si>
  <si>
    <t>S1288</t>
  </si>
  <si>
    <t>Neha Desai</t>
  </si>
  <si>
    <t>S1289</t>
  </si>
  <si>
    <t>S1290</t>
  </si>
  <si>
    <t>S1291</t>
  </si>
  <si>
    <t>Meera Verma</t>
  </si>
  <si>
    <t>S1292</t>
  </si>
  <si>
    <t>Aarav Iyer</t>
  </si>
  <si>
    <t>S1293</t>
  </si>
  <si>
    <t>S1294</t>
  </si>
  <si>
    <t>S1295</t>
  </si>
  <si>
    <t>S1296</t>
  </si>
  <si>
    <t>S1297</t>
  </si>
  <si>
    <t>S1298</t>
  </si>
  <si>
    <t>S1299</t>
  </si>
  <si>
    <t>S1300</t>
  </si>
  <si>
    <t>S1301</t>
  </si>
  <si>
    <t>S1302</t>
  </si>
  <si>
    <t>Sneha Kulkarni</t>
  </si>
  <si>
    <t>S1303</t>
  </si>
  <si>
    <t>S1304</t>
  </si>
  <si>
    <t>S1305</t>
  </si>
  <si>
    <t>S1306</t>
  </si>
  <si>
    <t>S1307</t>
  </si>
  <si>
    <t>S1308</t>
  </si>
  <si>
    <t>S1309</t>
  </si>
  <si>
    <t>Neha Mehta</t>
  </si>
  <si>
    <t>S1310</t>
  </si>
  <si>
    <t>S1311</t>
  </si>
  <si>
    <t>S1312</t>
  </si>
  <si>
    <t>Rahul Gupta</t>
  </si>
  <si>
    <t>S1313</t>
  </si>
  <si>
    <t>S1314</t>
  </si>
  <si>
    <t>S1315</t>
  </si>
  <si>
    <t>Pooja Desai</t>
  </si>
  <si>
    <t>S1316</t>
  </si>
  <si>
    <t>S1317</t>
  </si>
  <si>
    <t>Kavita Patil</t>
  </si>
  <si>
    <t>S1318</t>
  </si>
  <si>
    <t>S1319</t>
  </si>
  <si>
    <t>Dev Joshi</t>
  </si>
  <si>
    <t>S1320</t>
  </si>
  <si>
    <t>S1321</t>
  </si>
  <si>
    <t>S1322</t>
  </si>
  <si>
    <t>S1323</t>
  </si>
  <si>
    <t>Rahul Iyer</t>
  </si>
  <si>
    <t>S1324</t>
  </si>
  <si>
    <t>S1325</t>
  </si>
  <si>
    <t>S1326</t>
  </si>
  <si>
    <t>S1327</t>
  </si>
  <si>
    <t>S1328</t>
  </si>
  <si>
    <t>S1329</t>
  </si>
  <si>
    <t>S1330</t>
  </si>
  <si>
    <t>S1331</t>
  </si>
  <si>
    <t>S1332</t>
  </si>
  <si>
    <t>S1333</t>
  </si>
  <si>
    <t>S1334</t>
  </si>
  <si>
    <t>S1335</t>
  </si>
  <si>
    <t>S1336</t>
  </si>
  <si>
    <t>S1337</t>
  </si>
  <si>
    <t>S1338</t>
  </si>
  <si>
    <t>S1339</t>
  </si>
  <si>
    <t>Manish Iyer</t>
  </si>
  <si>
    <t>S1340</t>
  </si>
  <si>
    <t>S1341</t>
  </si>
  <si>
    <t>S1342</t>
  </si>
  <si>
    <t>Manish Desai</t>
  </si>
  <si>
    <t>S1343</t>
  </si>
  <si>
    <t>S1344</t>
  </si>
  <si>
    <t>S1345</t>
  </si>
  <si>
    <t>S1346</t>
  </si>
  <si>
    <t>Kunal Patil</t>
  </si>
  <si>
    <t>S1347</t>
  </si>
  <si>
    <t>S1348</t>
  </si>
  <si>
    <t>S1349</t>
  </si>
  <si>
    <t>Karan Kulkarni</t>
  </si>
  <si>
    <t>S1350</t>
  </si>
  <si>
    <t>S1351</t>
  </si>
  <si>
    <t>S1352</t>
  </si>
  <si>
    <t>S1353</t>
  </si>
  <si>
    <t>S1354</t>
  </si>
  <si>
    <t>S1355</t>
  </si>
  <si>
    <t>S1356</t>
  </si>
  <si>
    <t>S1357</t>
  </si>
  <si>
    <t>S1358</t>
  </si>
  <si>
    <t>S1359</t>
  </si>
  <si>
    <t>S1360</t>
  </si>
  <si>
    <t>S1361</t>
  </si>
  <si>
    <t>S1362</t>
  </si>
  <si>
    <t>S1363</t>
  </si>
  <si>
    <t>S1364</t>
  </si>
  <si>
    <t>S1365</t>
  </si>
  <si>
    <t>S1366</t>
  </si>
  <si>
    <t>S1367</t>
  </si>
  <si>
    <t>S1368</t>
  </si>
  <si>
    <t>Anjali Jain</t>
  </si>
  <si>
    <t>S1369</t>
  </si>
  <si>
    <t>Kavita Patel</t>
  </si>
  <si>
    <t>S1370</t>
  </si>
  <si>
    <t>S1371</t>
  </si>
  <si>
    <t>S1372</t>
  </si>
  <si>
    <t>S1373</t>
  </si>
  <si>
    <t>Aarav Rao</t>
  </si>
  <si>
    <t>S1374</t>
  </si>
  <si>
    <t>S1375</t>
  </si>
  <si>
    <t>S1376</t>
  </si>
  <si>
    <t>S1377</t>
  </si>
  <si>
    <t>S1378</t>
  </si>
  <si>
    <t>S1379</t>
  </si>
  <si>
    <t>Rohit Iyer</t>
  </si>
  <si>
    <t>S1380</t>
  </si>
  <si>
    <t>S1381</t>
  </si>
  <si>
    <t>S1382</t>
  </si>
  <si>
    <t>S1383</t>
  </si>
  <si>
    <t>S1384</t>
  </si>
  <si>
    <t>S1385</t>
  </si>
  <si>
    <t>S1386</t>
  </si>
  <si>
    <t>S1387</t>
  </si>
  <si>
    <t>Neha Joshi</t>
  </si>
  <si>
    <t>S1388</t>
  </si>
  <si>
    <t>Dev Jain</t>
  </si>
  <si>
    <t>S1389</t>
  </si>
  <si>
    <t>S1390</t>
  </si>
  <si>
    <t>S1391</t>
  </si>
  <si>
    <t>S1392</t>
  </si>
  <si>
    <t>S1393</t>
  </si>
  <si>
    <t>S1394</t>
  </si>
  <si>
    <t>S1395</t>
  </si>
  <si>
    <t>S1396</t>
  </si>
  <si>
    <t>S1397</t>
  </si>
  <si>
    <t>S1398</t>
  </si>
  <si>
    <t>S1399</t>
  </si>
  <si>
    <t>S1400</t>
  </si>
  <si>
    <t>S1401</t>
  </si>
  <si>
    <t>S1402</t>
  </si>
  <si>
    <t>Rahul Joshi</t>
  </si>
  <si>
    <t>S1403</t>
  </si>
  <si>
    <t>Karan Nair</t>
  </si>
  <si>
    <t>S1404</t>
  </si>
  <si>
    <t>S1405</t>
  </si>
  <si>
    <t>S1406</t>
  </si>
  <si>
    <t>S1407</t>
  </si>
  <si>
    <t>Pooja Nair</t>
  </si>
  <si>
    <t>S1408</t>
  </si>
  <si>
    <t>S1409</t>
  </si>
  <si>
    <t>S1410</t>
  </si>
  <si>
    <t>S1411</t>
  </si>
  <si>
    <t>S1412</t>
  </si>
  <si>
    <t>S1413</t>
  </si>
  <si>
    <t>S1414</t>
  </si>
  <si>
    <t>S1415</t>
  </si>
  <si>
    <t>S1416</t>
  </si>
  <si>
    <t>S1417</t>
  </si>
  <si>
    <t>S1418</t>
  </si>
  <si>
    <t>S1419</t>
  </si>
  <si>
    <t>S1420</t>
  </si>
  <si>
    <t>S1421</t>
  </si>
  <si>
    <t>S1422</t>
  </si>
  <si>
    <t>S1423</t>
  </si>
  <si>
    <t>S1424</t>
  </si>
  <si>
    <t>S1425</t>
  </si>
  <si>
    <t>Meera Rao</t>
  </si>
  <si>
    <t>S1426</t>
  </si>
  <si>
    <t>S1427</t>
  </si>
  <si>
    <t>S1428</t>
  </si>
  <si>
    <t>S1429</t>
  </si>
  <si>
    <t>S1430</t>
  </si>
  <si>
    <t>S1431</t>
  </si>
  <si>
    <t>S1432</t>
  </si>
  <si>
    <t>S1433</t>
  </si>
  <si>
    <t>Dev Shah</t>
  </si>
  <si>
    <t>S1434</t>
  </si>
  <si>
    <t>S1435</t>
  </si>
  <si>
    <t>S1436</t>
  </si>
  <si>
    <t>S1437</t>
  </si>
  <si>
    <t>S1438</t>
  </si>
  <si>
    <t>S1439</t>
  </si>
  <si>
    <t>S1440</t>
  </si>
  <si>
    <t>S1441</t>
  </si>
  <si>
    <t>S1442</t>
  </si>
  <si>
    <t>S1443</t>
  </si>
  <si>
    <t>S1444</t>
  </si>
  <si>
    <t>S1445</t>
  </si>
  <si>
    <t>S1446</t>
  </si>
  <si>
    <t>Pooja Verma</t>
  </si>
  <si>
    <t>S1447</t>
  </si>
  <si>
    <t>S1448</t>
  </si>
  <si>
    <t>S1449</t>
  </si>
  <si>
    <t>S1450</t>
  </si>
  <si>
    <t>S1451</t>
  </si>
  <si>
    <t>Anjali Joshi</t>
  </si>
  <si>
    <t>S1452</t>
  </si>
  <si>
    <t>S1453</t>
  </si>
  <si>
    <t>S1454</t>
  </si>
  <si>
    <t>Meera Kulkarni</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</si>
  <si>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</si>
  <si>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</si>
  <si>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</si>
  <si>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</si>
  <si>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</si>
  <si>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</si>
  <si>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</si>
  <si>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</si>
  <si>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</si>
  <si>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</si>
  <si>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</si>
  <si>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</si>
  <si>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</si>
  <si>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</si>
  <si>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</si>
  <si>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</si>
  <si>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</si>
  <si>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</si>
  <si>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</si>
  <si>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</si>
  <si>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</si>
  <si>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</si>
  <si>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</si>
  <si>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</si>
  <si>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</si>
  <si>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</si>
  <si>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</si>
  <si>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</si>
  <si>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</si>
  <si>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</si>
  <si>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</si>
  <si>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</si>
  <si>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</si>
  <si>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</si>
  <si>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Neha Kulkarni</t>
  </si>
  <si>
    <t>S1489</t>
  </si>
  <si>
    <t>S1490</t>
  </si>
  <si>
    <t>S1491</t>
  </si>
  <si>
    <t>S1492</t>
  </si>
  <si>
    <t>S1493</t>
  </si>
  <si>
    <t>S1494</t>
  </si>
  <si>
    <t>S1495</t>
  </si>
  <si>
    <t>S1496</t>
  </si>
  <si>
    <t>Karan Joshi</t>
  </si>
  <si>
    <t>S1497</t>
  </si>
  <si>
    <t>S1498</t>
  </si>
  <si>
    <t>S1499</t>
  </si>
  <si>
    <t>S1500</t>
  </si>
  <si>
    <t>S1501</t>
  </si>
  <si>
    <t>S1502</t>
  </si>
  <si>
    <t>S1503</t>
  </si>
  <si>
    <t>Pooja Mehta</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</si>
  <si>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</si>
  <si>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</si>
  <si>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</si>
  <si>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</si>
  <si>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</si>
  <si>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</si>
  <si>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</si>
  <si>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</si>
  <si>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</si>
  <si>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</si>
  <si>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</si>
  <si>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</si>
  <si>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</si>
  <si>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</si>
  <si>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</si>
  <si>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</si>
  <si>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</si>
  <si>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</si>
  <si>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</si>
  <si>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</si>
  <si>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</si>
  <si>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</si>
  <si>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</si>
  <si>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Neha Nair</t>
  </si>
  <si>
    <t>S1527</t>
  </si>
  <si>
    <t>S1528</t>
  </si>
  <si>
    <t>S1529</t>
  </si>
  <si>
    <t>S1530</t>
  </si>
  <si>
    <t>S1531</t>
  </si>
  <si>
    <t>S1532</t>
  </si>
  <si>
    <t>S1533</t>
  </si>
  <si>
    <t>S1534</t>
  </si>
  <si>
    <t>S1535</t>
  </si>
  <si>
    <t>S1536</t>
  </si>
  <si>
    <t>S1537</t>
  </si>
  <si>
    <t>S1538</t>
  </si>
  <si>
    <t>Anjali Singh</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</si>
  <si>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</si>
  <si>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</si>
  <si>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</si>
  <si>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</si>
  <si>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</si>
  <si>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</si>
  <si>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</si>
  <si>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</si>
  <si>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</si>
  <si>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</si>
  <si>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</si>
  <si>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</si>
  <si>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</si>
  <si>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</si>
  <si>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</si>
  <si>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</si>
  <si>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</si>
  <si>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</si>
  <si>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</si>
  <si>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</si>
  <si>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</si>
  <si>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</si>
  <si>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</si>
  <si>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</si>
  <si>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</si>
  <si>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</si>
  <si>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</si>
  <si>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</si>
  <si>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</si>
  <si>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</si>
  <si>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</si>
  <si>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</si>
  <si>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</si>
  <si>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</si>
  <si>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</si>
  <si>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</si>
  <si>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Pooja Iyer</t>
  </si>
  <si>
    <t>S1575</t>
  </si>
  <si>
    <t>S1576</t>
  </si>
  <si>
    <t>S1577</t>
  </si>
  <si>
    <t>S1578</t>
  </si>
  <si>
    <t>S1579</t>
  </si>
  <si>
    <t>S1580</t>
  </si>
  <si>
    <t>S1581</t>
  </si>
  <si>
    <t>S1582</t>
  </si>
  <si>
    <t>S1583</t>
  </si>
  <si>
    <t>S1584</t>
  </si>
  <si>
    <t>S1585</t>
  </si>
  <si>
    <t>S1586</t>
  </si>
  <si>
    <t>S1587</t>
  </si>
  <si>
    <t>S1588</t>
  </si>
  <si>
    <t>Sneha Singh</t>
  </si>
  <si>
    <t>S1589</t>
  </si>
  <si>
    <t>S1590</t>
  </si>
  <si>
    <t>S1591</t>
  </si>
  <si>
    <t>S1592</t>
  </si>
  <si>
    <t>S1593</t>
  </si>
  <si>
    <t>S1594</t>
  </si>
  <si>
    <t>S1595</t>
  </si>
  <si>
    <t>S1596</t>
  </si>
  <si>
    <t>S1597</t>
  </si>
  <si>
    <t>Kunal Jain</t>
  </si>
  <si>
    <t>S1598</t>
  </si>
  <si>
    <t>S1599</t>
  </si>
  <si>
    <t>S1600</t>
  </si>
  <si>
    <t>S1601</t>
  </si>
  <si>
    <t>S1602</t>
  </si>
  <si>
    <t>S1603</t>
  </si>
  <si>
    <t>S1604</t>
  </si>
  <si>
    <t>S1605</t>
  </si>
  <si>
    <t>S1606</t>
  </si>
  <si>
    <t>Kavita Nair</t>
  </si>
  <si>
    <t>S1607</t>
  </si>
  <si>
    <t>S1608</t>
  </si>
  <si>
    <t>S1609</t>
  </si>
  <si>
    <t>S1610</t>
  </si>
  <si>
    <t>S1611</t>
  </si>
  <si>
    <t>Riya Mehta</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</si>
  <si>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</si>
  <si>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</si>
  <si>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</si>
  <si>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</si>
  <si>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</si>
  <si>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</si>
  <si>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</si>
  <si>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</si>
  <si>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</si>
  <si>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</si>
  <si>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</si>
  <si>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</si>
  <si>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</si>
  <si>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</si>
  <si>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</si>
  <si>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</si>
  <si>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</si>
  <si>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</si>
  <si>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</si>
  <si>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</si>
  <si>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</si>
  <si>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</si>
  <si>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</si>
  <si>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</si>
  <si>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</si>
  <si>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</si>
  <si>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</si>
  <si>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</si>
  <si>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</si>
  <si>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</si>
  <si>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</si>
  <si>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</si>
  <si>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</si>
  <si>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</si>
  <si>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</si>
  <si>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</si>
  <si>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</si>
  <si>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</si>
  <si>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</si>
  <si>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</si>
  <si>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</si>
  <si>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</si>
  <si>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</si>
  <si>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</si>
  <si>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</si>
  <si>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</si>
  <si>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</si>
  <si>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</si>
  <si>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</si>
  <si>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</si>
  <si>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</si>
  <si>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</si>
  <si>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</si>
  <si>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</si>
  <si>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</si>
  <si>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</si>
  <si>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</si>
  <si>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</si>
  <si>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</si>
  <si>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</si>
  <si>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</si>
  <si>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Manish Shah</t>
  </si>
  <si>
    <t>S1673</t>
  </si>
  <si>
    <t>S1674</t>
  </si>
  <si>
    <t>S1675</t>
  </si>
  <si>
    <t>S1676</t>
  </si>
  <si>
    <t>S1677</t>
  </si>
  <si>
    <t>S1678</t>
  </si>
  <si>
    <t>S1679</t>
  </si>
  <si>
    <t>S1680</t>
  </si>
  <si>
    <t>S1681</t>
  </si>
  <si>
    <t>S1682</t>
  </si>
  <si>
    <t>S1683</t>
  </si>
  <si>
    <t>S1684</t>
  </si>
  <si>
    <t>S1685</t>
  </si>
  <si>
    <t>S1686</t>
  </si>
  <si>
    <t>Kavita Jain</t>
  </si>
  <si>
    <t>S1687</t>
  </si>
  <si>
    <t>S1688</t>
  </si>
  <si>
    <t>S1689</t>
  </si>
  <si>
    <t>S1690</t>
  </si>
  <si>
    <t>S1691</t>
  </si>
  <si>
    <t>S1692</t>
  </si>
  <si>
    <t>S1693</t>
  </si>
  <si>
    <t>S1694</t>
  </si>
  <si>
    <t>S1695</t>
  </si>
  <si>
    <t>S1696</t>
  </si>
  <si>
    <t>S1697</t>
  </si>
  <si>
    <t>S1698</t>
  </si>
  <si>
    <t>S1699</t>
  </si>
  <si>
    <t>S1700</t>
  </si>
  <si>
    <t>S1701</t>
  </si>
  <si>
    <t>S1702</t>
  </si>
  <si>
    <t>S1703</t>
  </si>
  <si>
    <t>S1704</t>
  </si>
  <si>
    <t>Sneha Rao</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</si>
  <si>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</si>
  <si>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</si>
  <si>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</si>
  <si>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</si>
  <si>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</si>
  <si>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</si>
  <si>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</si>
  <si>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</si>
  <si>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</si>
  <si>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</si>
  <si>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</si>
  <si>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</si>
  <si>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</si>
  <si>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</si>
  <si>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</si>
  <si>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</si>
  <si>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</si>
  <si>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</si>
  <si>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</si>
  <si>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</si>
  <si>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</si>
  <si>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</si>
  <si>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</si>
  <si>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</si>
  <si>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</si>
  <si>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</si>
  <si>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</si>
  <si>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</si>
  <si>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</si>
  <si>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</si>
  <si>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</si>
  <si>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</si>
  <si>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</si>
  <si>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</si>
  <si>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</si>
  <si>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</si>
  <si>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</si>
  <si>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</si>
  <si>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</si>
  <si>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</si>
  <si>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</si>
  <si>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</si>
  <si>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</si>
  <si>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</si>
  <si>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</si>
  <si>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</si>
  <si>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</si>
  <si>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Kunal Kulkarni</t>
  </si>
  <si>
    <t>S1752</t>
  </si>
  <si>
    <t>S1753</t>
  </si>
  <si>
    <t>S1754</t>
  </si>
  <si>
    <t>S1755</t>
  </si>
  <si>
    <t>S1756</t>
  </si>
  <si>
    <t>S1757</t>
  </si>
  <si>
    <t>S1758</t>
  </si>
  <si>
    <t>S1759</t>
  </si>
  <si>
    <t>S1760</t>
  </si>
  <si>
    <t>S1761</t>
  </si>
  <si>
    <t>S1762</t>
  </si>
  <si>
    <t>S1763</t>
  </si>
  <si>
    <t>Anjali Shah</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</si>
  <si>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</si>
  <si>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</si>
  <si>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</si>
  <si>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</si>
  <si>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</si>
  <si>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</si>
  <si>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</si>
  <si>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</si>
  <si>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</si>
  <si>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</si>
  <si>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</si>
  <si>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</si>
  <si>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</si>
  <si>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</si>
  <si>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</si>
  <si>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</si>
  <si>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</si>
  <si>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</si>
  <si>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</si>
  <si>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</si>
  <si>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</si>
  <si>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</si>
  <si>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</si>
  <si>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</si>
  <si>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</si>
  <si>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</si>
  <si>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</si>
  <si>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</si>
  <si>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</si>
  <si>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</si>
  <si>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</si>
  <si>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Rohit Kulkarni</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</si>
  <si>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</si>
  <si>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</si>
  <si>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</si>
  <si>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</si>
  <si>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</si>
  <si>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</si>
  <si>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</si>
  <si>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</si>
  <si>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</si>
  <si>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</si>
  <si>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</si>
  <si>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</si>
  <si>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</si>
  <si>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</si>
  <si>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</si>
  <si>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</si>
  <si>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</si>
  <si>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</si>
  <si>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</si>
  <si>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</si>
  <si>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</si>
  <si>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</si>
  <si>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</si>
  <si>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</si>
  <si>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</si>
  <si>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</si>
  <si>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</si>
  <si>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</si>
  <si>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</si>
  <si>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</si>
  <si>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</si>
  <si>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</si>
  <si>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</si>
  <si>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</si>
  <si>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</si>
  <si>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</si>
  <si>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</si>
  <si>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</si>
  <si>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</si>
  <si>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</si>
  <si>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Dev Rao</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</si>
  <si>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</si>
  <si>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</si>
  <si>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</si>
  <si>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</si>
  <si>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</si>
  <si>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</si>
  <si>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</si>
  <si>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</si>
  <si>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</si>
  <si>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</si>
  <si>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</si>
  <si>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</si>
  <si>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</si>
  <si>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</si>
  <si>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</si>
  <si>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</si>
  <si>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</si>
  <si>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</si>
  <si>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</si>
  <si>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</si>
  <si>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</si>
  <si>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</si>
  <si>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</si>
  <si>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</si>
  <si>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</si>
  <si>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</si>
  <si>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</si>
  <si>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</si>
  <si>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</si>
  <si>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</si>
  <si>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</si>
  <si>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Pooja Rao</t>
  </si>
  <si>
    <t>S1866</t>
  </si>
  <si>
    <t>S1867</t>
  </si>
  <si>
    <t>S1868</t>
  </si>
  <si>
    <t>S1869</t>
  </si>
  <si>
    <t>S1870</t>
  </si>
  <si>
    <t>S1871</t>
  </si>
  <si>
    <t>Meera Desai</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</si>
  <si>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</si>
  <si>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</si>
  <si>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</si>
  <si>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</si>
  <si>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</si>
  <si>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</si>
  <si>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</si>
  <si>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</si>
  <si>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</si>
  <si>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</si>
  <si>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</si>
  <si>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</si>
  <si>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</si>
  <si>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</si>
  <si>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</si>
  <si>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</si>
  <si>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</si>
  <si>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</si>
  <si>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</si>
  <si>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</si>
  <si>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</si>
  <si>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</si>
  <si>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</si>
  <si>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</si>
  <si>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</si>
  <si>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</si>
  <si>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</si>
  <si>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</si>
  <si>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</si>
  <si>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</si>
  <si>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</si>
  <si>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</si>
  <si>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</si>
  <si>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</si>
  <si>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</si>
  <si>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</si>
  <si>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</si>
  <si>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</si>
  <si>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</si>
  <si>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</si>
  <si>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</si>
  <si>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</si>
  <si>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</si>
  <si>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</si>
  <si>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</si>
  <si>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</si>
  <si>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</si>
  <si>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</si>
  <si>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</si>
  <si>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</si>
  <si>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</si>
  <si>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</si>
  <si>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</si>
  <si>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</si>
  <si>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</si>
  <si>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</si>
  <si>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</si>
  <si>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</si>
  <si>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</si>
  <si>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</si>
  <si>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</si>
  <si>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</si>
  <si>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</si>
  <si>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</si>
  <si>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</si>
  <si>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</si>
  <si>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</si>
  <si>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</si>
  <si>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</si>
  <si>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</si>
  <si>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</si>
  <si>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</si>
  <si>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</si>
  <si>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</si>
  <si>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</si>
  <si>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</si>
  <si>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</si>
  <si>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Meera Iyer</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</si>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</sst>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b/>
      <color theme="1"/>
      <name val="Arial"/>
      <scheme val="minor"/>
    </font>
    <font>
      <sz val="10.0"/>
      <color theme="1"/>
      <name val="Arial"/>
    </font>
  </fonts>
  <fills count="7">
    <fill>
      <patternFill patternType="none"/>
    </fill>
    <fill>
      <patternFill patternType="lightGray"/>
    </fill>
    <fill>
      <patternFill patternType="solid">
        <fgColor rgb="FFEAD1DC"/>
        <bgColor rgb="FFEAD1DC"/>
      </patternFill>
    </fill>
    <fill>
      <patternFill patternType="solid">
        <fgColor rgb="FFB4A7D6"/>
        <bgColor rgb="FFB4A7D6"/>
      </patternFill>
    </fill>
    <fill>
      <patternFill patternType="solid">
        <fgColor rgb="FFFFFF00"/>
        <bgColor rgb="FFFFFF00"/>
      </patternFill>
    </fill>
    <fill>
      <patternFill patternType="solid">
        <fgColor rgb="FFD9D2E9"/>
        <bgColor rgb="FFD9D2E9"/>
      </patternFill>
    </fill>
    <fill>
      <patternFill patternType="solid">
        <fgColor rgb="FFD5A6BD"/>
        <bgColor rgb="FFD5A6BD"/>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vertical="bottom"/>
    </xf>
    <xf borderId="0" fillId="0" fontId="2" numFmtId="0" xfId="0" applyFont="1"/>
    <xf borderId="0" fillId="0" fontId="3" numFmtId="0" xfId="0" applyAlignment="1" applyFont="1">
      <alignment vertical="bottom"/>
    </xf>
    <xf borderId="0" fillId="0" fontId="3" numFmtId="0" xfId="0" applyAlignment="1" applyFont="1">
      <alignment horizontal="right" vertical="bottom"/>
    </xf>
    <xf borderId="0" fillId="0" fontId="4" numFmtId="0" xfId="0" applyFont="1"/>
    <xf borderId="0" fillId="0" fontId="4" numFmtId="0" xfId="0" applyAlignment="1" applyFont="1">
      <alignment horizontal="center" readingOrder="0"/>
    </xf>
    <xf borderId="0" fillId="0" fontId="4" numFmtId="0" xfId="0" applyAlignment="1" applyFont="1">
      <alignment readingOrder="0"/>
    </xf>
    <xf borderId="0" fillId="2" fontId="4" numFmtId="0" xfId="0" applyAlignment="1" applyFill="1" applyFont="1">
      <alignment readingOrder="0"/>
    </xf>
    <xf borderId="0" fillId="0" fontId="5" numFmtId="10" xfId="0" applyAlignment="1" applyFont="1" applyNumberFormat="1">
      <alignment shrinkToFit="0" vertical="bottom" wrapText="0"/>
    </xf>
    <xf borderId="0" fillId="0" fontId="2" numFmtId="10" xfId="0" applyFont="1" applyNumberFormat="1"/>
    <xf borderId="0" fillId="0" fontId="2" numFmtId="4" xfId="0" applyFont="1" applyNumberFormat="1"/>
    <xf borderId="0" fillId="3" fontId="4" numFmtId="0" xfId="0" applyAlignment="1" applyFill="1" applyFont="1">
      <alignment readingOrder="0"/>
    </xf>
    <xf borderId="0" fillId="4" fontId="2" numFmtId="0" xfId="0" applyFill="1" applyFont="1"/>
    <xf borderId="0" fillId="0" fontId="5" numFmtId="49" xfId="0" applyAlignment="1" applyFont="1" applyNumberFormat="1">
      <alignment shrinkToFit="0" vertical="bottom" wrapText="0"/>
    </xf>
    <xf borderId="0" fillId="4" fontId="2" numFmtId="0" xfId="0" applyAlignment="1" applyFont="1">
      <alignment readingOrder="0"/>
    </xf>
    <xf borderId="0" fillId="5" fontId="2" numFmtId="0" xfId="0" applyFill="1" applyFont="1"/>
    <xf borderId="0" fillId="0" fontId="2" numFmtId="0" xfId="0" applyAlignment="1" applyFont="1">
      <alignment readingOrder="0"/>
    </xf>
    <xf borderId="0" fillId="2" fontId="2" numFmtId="0" xfId="0" applyAlignment="1" applyFont="1">
      <alignment readingOrder="0"/>
    </xf>
    <xf borderId="0" fillId="6" fontId="2" numFmtId="0" xfId="0" applyAlignment="1" applyFill="1" applyFont="1">
      <alignment readingOrder="0"/>
    </xf>
    <xf borderId="0" fillId="0" fontId="2" numFmtId="49" xfId="0" applyFont="1" applyNumberFormat="1"/>
    <xf borderId="0" fillId="6" fontId="2" numFmtId="0" xfId="0" applyFont="1"/>
    <xf borderId="0" fillId="6" fontId="2" numFmtId="4" xfId="0" applyFont="1" applyNumberFormat="1"/>
    <xf borderId="0" fillId="2" fontId="2" numFmtId="0" xfId="0" applyFont="1"/>
    <xf borderId="0" fillId="2" fontId="2" numFmtId="10"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customschemas.google.com/relationships/workbookmetadata" Target="metadata"/><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PaymentAmount vs. CourseName</a:t>
            </a:r>
          </a:p>
        </c:rich>
      </c:tx>
      <c:overlay val="0"/>
    </c:title>
    <c:plotArea>
      <c:layout/>
      <c:barChart>
        <c:barDir val="col"/>
        <c:ser>
          <c:idx val="0"/>
          <c:order val="0"/>
          <c:tx>
            <c:strRef>
              <c:f>'Q13'!$B$1</c:f>
            </c:strRef>
          </c:tx>
          <c:spPr>
            <a:solidFill>
              <a:schemeClr val="accent1"/>
            </a:solidFill>
            <a:ln cmpd="sng">
              <a:noFill/>
            </a:ln>
          </c:spPr>
          <c:cat>
            <c:strRef>
              <c:f>'Q13'!$A$2:$A$5</c:f>
            </c:strRef>
          </c:cat>
          <c:val>
            <c:numRef>
              <c:f>'Q13'!$B$2:$B$5</c:f>
              <c:numCache/>
            </c:numRef>
          </c:val>
        </c:ser>
        <c:axId val="2070034086"/>
        <c:axId val="610472401"/>
      </c:barChart>
      <c:catAx>
        <c:axId val="2070034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CourseName</a:t>
                </a:r>
              </a:p>
            </c:rich>
          </c:tx>
          <c:layout>
            <c:manualLayout>
              <c:xMode val="edge"/>
              <c:yMode val="edge"/>
              <c:x val="0.14139258616255143"/>
              <c:y val="0.89"/>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10472401"/>
      </c:catAx>
      <c:valAx>
        <c:axId val="610472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PaymentAmount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00340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Trend over Payment Date</a:t>
            </a:r>
          </a:p>
        </c:rich>
      </c:tx>
      <c:overlay val="0"/>
    </c:title>
    <c:plotArea>
      <c:layout/>
      <c:lineChart>
        <c:varyColors val="0"/>
        <c:ser>
          <c:idx val="0"/>
          <c:order val="0"/>
          <c:tx>
            <c:strRef>
              <c:f>'Q13'!$D$23</c:f>
            </c:strRef>
          </c:tx>
          <c:spPr>
            <a:ln cmpd="sng">
              <a:solidFill>
                <a:srgbClr val="4F81BD"/>
              </a:solidFill>
            </a:ln>
          </c:spPr>
          <c:marker>
            <c:symbol val="none"/>
          </c:marker>
          <c:cat>
            <c:strRef>
              <c:f>'Q13'!$C$24:$C$84</c:f>
            </c:strRef>
          </c:cat>
          <c:val>
            <c:numRef>
              <c:f>'Q13'!$D$24:$D$84</c:f>
              <c:numCache/>
            </c:numRef>
          </c:val>
          <c:smooth val="0"/>
        </c:ser>
        <c:axId val="1726188874"/>
        <c:axId val="1114514453"/>
      </c:lineChart>
      <c:catAx>
        <c:axId val="1726188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Payment Date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4514453"/>
      </c:catAx>
      <c:valAx>
        <c:axId val="1114514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6188874"/>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38100</xdr:colOff>
      <xdr:row>59</xdr:row>
      <xdr:rowOff>66675</xdr:rowOff>
    </xdr:from>
    <xdr:ext cx="2857500" cy="2857500"/>
    <mc:AlternateContent>
      <mc:Choice Requires="sle15">
        <xdr:graphicFrame>
          <xdr:nvGraphicFramePr>
            <xdr:cNvPr id="1" name="MentorName_1"/>
            <xdr:cNvGraphicFramePr/>
          </xdr:nvGraphicFramePr>
          <xdr:xfrm>
            <a:off x="0" y="0"/>
            <a:ext cx="0" cy="0"/>
          </xdr:xfrm>
          <a:graphic>
            <a:graphicData uri="http://schemas.microsoft.com/office/drawing/2010/slicer">
              <x3Unk:slicer name="Mentor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1009650</xdr:colOff>
      <xdr:row>59</xdr:row>
      <xdr:rowOff>66675</xdr:rowOff>
    </xdr:from>
    <xdr:ext cx="2857500" cy="2857500"/>
    <mc:AlternateContent>
      <mc:Choice Requires="sle15">
        <xdr:graphicFrame>
          <xdr:nvGraphicFramePr>
            <xdr:cNvPr id="2" name="Platform_2"/>
            <xdr:cNvGraphicFramePr/>
          </xdr:nvGraphicFramePr>
          <xdr:xfrm>
            <a:off x="0" y="0"/>
            <a:ext cx="0" cy="0"/>
          </xdr:xfrm>
          <a:graphic>
            <a:graphicData uri="http://schemas.microsoft.com/office/drawing/2010/slicer">
              <x3Unk:slicer name="Platform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1</xdr:row>
      <xdr:rowOff>95250</xdr:rowOff>
    </xdr:from>
    <xdr:ext cx="4629150" cy="2857500"/>
    <xdr:graphicFrame>
      <xdr:nvGraphicFramePr>
        <xdr:cNvPr id="67269852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485775</xdr:colOff>
      <xdr:row>27</xdr:row>
      <xdr:rowOff>152400</xdr:rowOff>
    </xdr:from>
    <xdr:ext cx="5715000" cy="3533775"/>
    <xdr:graphicFrame>
      <xdr:nvGraphicFramePr>
        <xdr:cNvPr id="2019478909"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P1002" sheet="edtech_dataset"/>
  </cacheSource>
  <cacheFields>
    <cacheField name="StudentID" numFmtId="0">
      <sharedItems>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haredItems>
    </cacheField>
    <cacheField name="StudentName" numFmtId="0">
      <sharedItems>
        <s v="Rohit Shah"/>
        <s v="Riya Singh"/>
        <s v="Sneha Gupta"/>
        <s v="Sneha Iyer"/>
        <s v="Karan Patil"/>
        <s v="Pooja Joshi"/>
        <s v="Rahul Shah"/>
        <s v="Riya Kulkarni"/>
        <s v="Aditya Iyer"/>
        <s v="Kunal Singh"/>
        <s v="Neha Verma"/>
        <s v="Dev Patel"/>
        <s v="Sneha Joshi"/>
        <s v="Aditya Mehta"/>
        <s v="Kunal Joshi"/>
        <s v="Dev Kulkarni"/>
        <s v="Riya Verma"/>
        <s v="Aarav Singh"/>
        <s v="Aditya Verma"/>
        <s v="Dev Mehta"/>
        <s v="Karan Jain"/>
        <s v="Aarav Shah"/>
        <s v="Riya Shah"/>
        <s v="Manish Mehta"/>
        <s v="Manish Patel"/>
        <s v="Kunal Gupta"/>
        <s v="Kavita Gupta"/>
        <s v="Rohit Verma"/>
        <s v="Rohit Singh"/>
        <s v="Sneha Patil"/>
        <s v="Meera Shah"/>
        <s v="Rahul Kulkarni"/>
        <s v="Rahul Desai"/>
        <s v="Anjali Gupta"/>
        <s v="Manish Nair"/>
        <s v="Kavita Shah"/>
        <s v="Aarav Joshi"/>
        <s v="Kunal Rao"/>
        <s v="Karan Singh"/>
        <s v="Pooja Shah"/>
        <s v="Aditya Joshi"/>
        <s v="Kunal Mehta"/>
        <s v="Neha Rao"/>
        <s v="Aarav Jain"/>
        <s v="Anjali Verma"/>
        <s v="Aarav Nair"/>
        <s v="Aditya Jain"/>
        <s v="Dev Gupta"/>
        <s v="Karan Patel"/>
        <s v="Kunal Verma"/>
        <s v="Dev Nair"/>
        <s v="Aditya Nair"/>
        <s v="Meera Gupta"/>
        <s v="Kunal Patel"/>
        <s v="Pooja Singh"/>
        <s v="Anjali Mehta"/>
        <s v="Rahul Patel"/>
        <s v="Neha Patel"/>
        <s v="Riya Nair"/>
        <s v="Aarav Kulkarni"/>
        <s v="Rohit Joshi"/>
        <s v="Aarav Gupta"/>
        <s v="Manish Gupta"/>
        <s v="Sneha Nair"/>
        <s v="Riya Desai"/>
        <s v="Karan Mehta"/>
        <s v="Rahul Verma"/>
        <s v="Dev Verma"/>
        <s v="Manish Kulkarni"/>
        <s v="Rahul Mehta"/>
        <s v="Neha Jain"/>
        <s v="Aarav Desai"/>
        <s v="Aarav Patil"/>
        <s v="Kavita Joshi"/>
        <s v="Meera Singh"/>
        <s v="Riya Patel"/>
        <s v="Manish Singh"/>
        <s v="Rohit Nair"/>
        <s v="Meera Patil"/>
        <s v="Kavita Singh"/>
        <s v="Neha Patil"/>
        <s v="Manish Jain"/>
        <s v="Sneha Desai"/>
        <s v="Aditya Shah"/>
        <s v="Neha Shah"/>
        <s v="Sneha Shah"/>
        <s v="Neha Iyer"/>
        <s v="Kavita Desai"/>
        <s v="Sneha Mehta"/>
        <s v="Aditya Kulkarni"/>
        <s v="Rohit Patil"/>
        <s v="Riya Gupta"/>
        <s v="Aarav Mehta"/>
        <s v="Riya Iyer"/>
        <s v="Riya Patil"/>
        <s v="Karan Rao"/>
        <s v="Kunal Desai"/>
        <s v="Riya Rao"/>
        <s v="Anjali Rao"/>
        <s v="Rahul Patil"/>
        <s v="Rohit Patel"/>
        <s v="Rahul Singh"/>
        <s v="Anjali Patel"/>
        <s v="Rohit Rao"/>
        <s v="Karan Desai"/>
        <s v="Pooja Jain"/>
        <s v="Aditya Singh"/>
        <s v="Aditya Patil"/>
        <s v="Kavita Rao"/>
        <s v="Dev Patil"/>
        <s v="Dev Desai"/>
        <s v="Dev Iyer"/>
        <s v="Pooja Gupta"/>
        <s v="Meera Jain"/>
        <s v="Rohit Desai"/>
        <s v="Aditya Gupta"/>
        <s v="Rahul Nair"/>
        <s v="Rohit Jain"/>
        <s v="Meera Nair"/>
        <s v="Aarav Patel"/>
        <s v="Karan Shah"/>
        <s v="Pooja Kulkarni"/>
        <s v="Neha Gupta"/>
        <s v="Neha Singh"/>
        <s v="Anjali Iyer"/>
        <s v="Kavita Verma"/>
        <s v="Anjali Desai"/>
        <s v="Manish Patil"/>
        <s v="Aditya Desai"/>
        <s v="Kavita Iyer"/>
        <s v="Kavita Kulkarni"/>
        <s v="Aditya Rao"/>
        <s v="Karan Verma"/>
        <s v="Anjali Nair"/>
        <s v="Kavita Mehta"/>
        <s v="Manish Joshi"/>
        <s v="Manish Verma"/>
        <s v="Sneha Jain"/>
        <s v="Meera Patel"/>
        <s v="Anjali Patil"/>
        <s v="Sneha Patel"/>
        <s v="Kunal Shah"/>
        <s v="Aarav Verma"/>
        <s v="Pooja Patil"/>
        <s v="Meera Mehta"/>
        <s v="Sneha Verma"/>
        <s v="Rohit Gupta"/>
        <s v="Rohit Mehta"/>
        <s v="Dev Singh"/>
        <s v="Karan Iyer"/>
        <s v="Riya Jain"/>
        <s v="Rahul Rao"/>
        <s v="Karan Gupta"/>
        <s v="Aditya Patel"/>
        <s v="Kunal Iyer"/>
        <s v="Manish Rao"/>
        <s v="Kunal Nair"/>
        <s v="Meera Joshi"/>
        <s v="Anjali Kulkarni"/>
        <s v="Rahul Jain"/>
        <s v="Pooja Patel"/>
        <s v="Neha Desai"/>
        <s v="Meera Verma"/>
        <s v="Aarav Iyer"/>
        <s v="Sneha Kulkarni"/>
        <s v="Neha Mehta"/>
        <s v="Rahul Gupta"/>
        <s v="Pooja Desai"/>
        <s v="Kavita Patil"/>
        <s v="Dev Joshi"/>
        <s v="Rahul Iyer"/>
        <s v="Manish Iyer"/>
        <s v="Manish Desai"/>
        <s v="Kunal Patil"/>
        <s v="Karan Kulkarni"/>
        <s v="Anjali Jain"/>
        <s v="Kavita Patel"/>
        <s v="Aarav Rao"/>
        <s v="Rohit Iyer"/>
        <s v="Neha Joshi"/>
        <s v="Dev Jain"/>
        <s v="Rahul Joshi"/>
        <s v="Karan Nair"/>
        <s v="Pooja Nair"/>
        <s v="Meera Rao"/>
        <s v="Dev Shah"/>
        <s v="Pooja Verma"/>
        <s v="Anjali Joshi"/>
        <s v="Meera Kulkarni"/>
        <s v="Neha Kulkarni"/>
        <s v="Karan Joshi"/>
        <s v="Pooja Mehta"/>
        <s v="Neha Nair"/>
        <s v="Anjali Singh"/>
        <s v="Pooja Iyer"/>
        <s v="Sneha Singh"/>
        <s v="Kunal Jain"/>
        <s v="Kavita Nair"/>
        <s v="Riya Mehta"/>
        <s v="Manish Shah"/>
        <s v="Kavita Jain"/>
        <s v="Sneha Rao"/>
        <s v="Kunal Kulkarni"/>
        <s v="Anjali Shah"/>
        <s v="Rohit Kulkarni"/>
        <s v="Dev Rao"/>
        <s v="Pooja Rao"/>
        <s v="Meera Desai"/>
        <s v="Meera Iyer"/>
      </sharedItems>
    </cacheField>
    <cacheField name="CourseID" numFmtId="0">
      <sharedItems>
        <s v="C201"/>
        <s v="C203"/>
        <s v="C202"/>
        <s v="C204"/>
      </sharedItems>
    </cacheField>
    <cacheField name="CourseName" numFmtId="0">
      <sharedItems>
        <s v="Data Analytics"/>
        <s v="Full Stack Dev"/>
        <s v="Data Science"/>
        <s v="UI UX Design"/>
      </sharedItems>
    </cacheField>
    <cacheField name="BatchID" numFmtId="0">
      <sharedItems>
        <s v="B3"/>
        <s v="B1"/>
        <s v="B2"/>
      </sharedItems>
    </cacheField>
    <cacheField name="MentorName" numFmtId="0">
      <sharedItems>
        <s v="Priya"/>
        <s v="Saurabh"/>
        <s v="Amit"/>
      </sharedItems>
    </cacheField>
    <cacheField name="Platform" numFmtId="0">
      <sharedItems>
        <s v="Web"/>
        <s v="Tablet"/>
        <s v="Mobile"/>
      </sharedItems>
    </cacheField>
    <cacheField name="PaymentAmount" numFmtId="0">
      <sharedItems containsSemiMixedTypes="0" containsString="0" containsNumber="1" containsInteger="1">
        <n v="12914.0"/>
        <n v="12122.0"/>
        <n v="14661.0"/>
        <n v="16731.0"/>
        <n v="15396.0"/>
        <n v="17196.0"/>
        <n v="17364.0"/>
        <n v="14549.0"/>
        <n v="15858.0"/>
        <n v="14187.0"/>
        <n v="15899.0"/>
        <n v="13643.0"/>
        <n v="16620.0"/>
        <n v="12076.0"/>
        <n v="9087.0"/>
        <n v="15244.0"/>
        <n v="8029.0"/>
        <n v="15148.0"/>
        <n v="14587.0"/>
        <n v="14079.0"/>
        <n v="13453.0"/>
        <n v="15986.0"/>
        <n v="7525.0"/>
        <n v="18950.0"/>
        <n v="13751.0"/>
        <n v="7262.0"/>
        <n v="11290.0"/>
        <n v="16140.0"/>
        <n v="7779.0"/>
        <n v="18538.0"/>
        <n v="13389.0"/>
        <n v="8140.0"/>
        <n v="9671.0"/>
        <n v="12971.0"/>
        <n v="12086.0"/>
        <n v="7891.0"/>
        <n v="12205.0"/>
        <n v="14487.0"/>
        <n v="12008.0"/>
        <n v="14315.0"/>
        <n v="11977.0"/>
        <n v="15038.0"/>
        <n v="13086.0"/>
        <n v="12794.0"/>
        <n v="15816.0"/>
        <n v="17266.0"/>
        <n v="13815.0"/>
        <n v="15397.0"/>
        <n v="14036.0"/>
        <n v="15702.0"/>
        <n v="16760.0"/>
        <n v="13022.0"/>
        <n v="10791.0"/>
        <n v="14016.0"/>
        <n v="11442.0"/>
        <n v="8432.0"/>
        <n v="11791.0"/>
        <n v="14086.0"/>
        <n v="15731.0"/>
        <n v="8787.0"/>
        <n v="12786.0"/>
        <n v="14886.0"/>
        <n v="13266.0"/>
        <n v="16722.0"/>
        <n v="16244.0"/>
        <n v="17767.0"/>
        <n v="13111.0"/>
        <n v="14303.0"/>
        <n v="12865.0"/>
        <n v="13024.0"/>
        <n v="12720.0"/>
        <n v="14282.0"/>
        <n v="18653.0"/>
        <n v="8843.0"/>
        <n v="15979.0"/>
        <n v="16309.0"/>
        <n v="13893.0"/>
        <n v="15255.0"/>
        <n v="12024.0"/>
        <n v="9236.0"/>
        <n v="11118.0"/>
        <n v="10766.0"/>
        <n v="7111.0"/>
        <n v="8552.0"/>
        <n v="16033.0"/>
        <n v="12281.0"/>
        <n v="14141.0"/>
        <n v="14370.0"/>
        <n v="7311.0"/>
        <n v="14482.0"/>
        <n v="14709.0"/>
        <n v="15432.0"/>
        <n v="7721.0"/>
        <n v="9426.0"/>
        <n v="15073.0"/>
        <n v="10485.0"/>
        <n v="18605.0"/>
        <n v="12988.0"/>
        <n v="13915.0"/>
        <n v="14833.0"/>
        <n v="16408.0"/>
        <n v="16255.0"/>
        <n v="13194.0"/>
        <n v="11000.0"/>
        <n v="11734.0"/>
        <n v="8164.0"/>
        <n v="11467.0"/>
        <n v="15887.0"/>
        <n v="7924.0"/>
        <n v="17329.0"/>
        <n v="13083.0"/>
        <n v="13845.0"/>
        <n v="13879.0"/>
        <n v="18292.0"/>
        <n v="14385.0"/>
        <n v="18773.0"/>
        <n v="17049.0"/>
        <n v="14472.0"/>
        <n v="12164.0"/>
        <n v="8785.0"/>
        <n v="7428.0"/>
        <n v="10332.0"/>
        <n v="18973.0"/>
        <n v="13692.0"/>
        <n v="7833.0"/>
        <n v="7118.0"/>
        <n v="13262.0"/>
        <n v="15408.0"/>
        <n v="16701.0"/>
        <n v="13081.0"/>
        <n v="10360.0"/>
        <n v="8983.0"/>
        <n v="9856.0"/>
        <n v="8937.0"/>
        <n v="13057.0"/>
        <n v="7062.0"/>
        <n v="12386.0"/>
        <n v="13556.0"/>
        <n v="7280.0"/>
        <n v="11403.0"/>
        <n v="18261.0"/>
        <n v="8687.0"/>
        <n v="14566.0"/>
        <n v="8888.0"/>
        <n v="14238.0"/>
        <n v="16024.0"/>
        <n v="8562.0"/>
        <n v="16124.0"/>
        <n v="15411.0"/>
        <n v="17543.0"/>
        <n v="13647.0"/>
        <n v="12538.0"/>
        <n v="10221.0"/>
        <n v="18962.0"/>
        <n v="15089.0"/>
        <n v="10238.0"/>
        <n v="15067.0"/>
        <n v="16931.0"/>
        <n v="15258.0"/>
        <n v="10875.0"/>
        <n v="13591.0"/>
        <n v="7632.0"/>
        <n v="7134.0"/>
        <n v="12504.0"/>
        <n v="15965.0"/>
        <n v="9628.0"/>
        <n v="15840.0"/>
        <n v="12345.0"/>
        <n v="14212.0"/>
        <n v="15235.0"/>
        <n v="14038.0"/>
        <n v="14102.0"/>
        <n v="14208.0"/>
        <n v="13746.0"/>
        <n v="12607.0"/>
        <n v="16207.0"/>
        <n v="14666.0"/>
        <n v="8388.0"/>
        <n v="14724.0"/>
        <n v="7381.0"/>
        <n v="17402.0"/>
        <n v="15854.0"/>
        <n v="13440.0"/>
        <n v="14470.0"/>
        <n v="15926.0"/>
        <n v="13095.0"/>
        <n v="15743.0"/>
        <n v="15980.0"/>
        <n v="12396.0"/>
        <n v="18618.0"/>
        <n v="13814.0"/>
        <n v="7466.0"/>
        <n v="7186.0"/>
        <n v="15143.0"/>
        <n v="18059.0"/>
        <n v="14302.0"/>
        <n v="15773.0"/>
        <n v="9622.0"/>
        <n v="13884.0"/>
        <n v="13640.0"/>
        <n v="16364.0"/>
        <n v="15710.0"/>
        <n v="12048.0"/>
        <n v="13900.0"/>
        <n v="16801.0"/>
        <n v="16441.0"/>
        <n v="10406.0"/>
        <n v="13574.0"/>
        <n v="12771.0"/>
        <n v="14321.0"/>
        <n v="12793.0"/>
        <n v="12586.0"/>
        <n v="12269.0"/>
        <n v="10488.0"/>
        <n v="15754.0"/>
        <n v="10842.0"/>
        <n v="18395.0"/>
        <n v="8485.0"/>
        <n v="7634.0"/>
        <n v="15619.0"/>
        <n v="11664.0"/>
        <n v="12682.0"/>
        <n v="10210.0"/>
        <n v="17778.0"/>
        <n v="16714.0"/>
        <n v="12968.0"/>
        <n v="13117.0"/>
        <n v="10623.0"/>
        <n v="12965.0"/>
        <n v="14662.0"/>
        <n v="15404.0"/>
        <n v="7077.0"/>
        <n v="8233.0"/>
        <n v="9444.0"/>
        <n v="12758.0"/>
        <n v="7350.0"/>
        <n v="14603.0"/>
        <n v="12987.0"/>
        <n v="17236.0"/>
        <n v="7746.0"/>
        <n v="7179.0"/>
        <n v="16939.0"/>
        <n v="14546.0"/>
        <n v="10281.0"/>
        <n v="8203.0"/>
        <n v="17939.0"/>
        <n v="18563.0"/>
        <n v="13663.0"/>
        <n v="13777.0"/>
        <n v="12568.0"/>
        <n v="10125.0"/>
        <n v="16141.0"/>
        <n v="14741.0"/>
        <n v="17506.0"/>
        <n v="12851.0"/>
        <n v="13423.0"/>
        <n v="18798.0"/>
        <n v="11969.0"/>
        <n v="10372.0"/>
        <n v="14119.0"/>
        <n v="14730.0"/>
        <n v="12321.0"/>
        <n v="15917.0"/>
        <n v="17058.0"/>
        <n v="14694.0"/>
        <n v="15885.0"/>
        <n v="9039.0"/>
        <n v="8218.0"/>
        <n v="12902.0"/>
        <n v="18525.0"/>
        <n v="16307.0"/>
        <n v="7207.0"/>
        <n v="10824.0"/>
        <n v="13042.0"/>
        <n v="7881.0"/>
        <n v="17754.0"/>
        <n v="14979.0"/>
        <n v="14301.0"/>
        <n v="15130.0"/>
        <n v="13528.0"/>
        <n v="12644.0"/>
        <n v="13127.0"/>
        <n v="11665.0"/>
        <n v="18392.0"/>
        <n v="16356.0"/>
        <n v="15961.0"/>
        <n v="14147.0"/>
        <n v="13345.0"/>
        <n v="17828.0"/>
        <n v="9890.0"/>
        <n v="16543.0"/>
        <n v="18162.0"/>
        <n v="11921.0"/>
        <n v="12298.0"/>
        <n v="17771.0"/>
        <n v="16178.0"/>
        <n v="15827.0"/>
        <n v="18034.0"/>
        <n v="11410.0"/>
        <n v="15950.0"/>
        <n v="10096.0"/>
        <n v="12951.0"/>
        <n v="15825.0"/>
        <n v="10591.0"/>
        <n v="14626.0"/>
        <n v="8354.0"/>
        <n v="18017.0"/>
        <n v="14674.0"/>
        <n v="15390.0"/>
        <n v="11964.0"/>
        <n v="15046.0"/>
        <n v="12906.0"/>
        <n v="18752.0"/>
        <n v="12863.0"/>
        <n v="10120.0"/>
        <n v="14882.0"/>
        <n v="12828.0"/>
        <n v="17786.0"/>
        <n v="13857.0"/>
        <n v="15305.0"/>
        <n v="17368.0"/>
        <n v="15824.0"/>
        <n v="13645.0"/>
        <n v="9796.0"/>
        <n v="16609.0"/>
        <n v="14758.0"/>
        <n v="11635.0"/>
        <n v="14518.0"/>
        <n v="14448.0"/>
        <n v="7889.0"/>
        <n v="13365.0"/>
        <n v="17704.0"/>
        <n v="18603.0"/>
        <n v="9749.0"/>
        <n v="8541.0"/>
        <n v="11591.0"/>
        <n v="7549.0"/>
        <n v="18469.0"/>
        <n v="13759.0"/>
        <n v="14750.0"/>
        <n v="18838.0"/>
        <n v="9882.0"/>
        <n v="17185.0"/>
        <n v="8923.0"/>
        <n v="18539.0"/>
        <n v="17949.0"/>
        <n v="18413.0"/>
        <n v="17628.0"/>
        <n v="17238.0"/>
        <n v="15871.0"/>
        <n v="13896.0"/>
        <n v="9612.0"/>
        <n v="9259.0"/>
        <n v="17057.0"/>
        <n v="16528.0"/>
        <n v="13677.0"/>
        <n v="9608.0"/>
        <n v="9317.0"/>
        <n v="12947.0"/>
        <n v="15134.0"/>
        <n v="15081.0"/>
        <n v="14418.0"/>
        <n v="18237.0"/>
        <n v="15435.0"/>
        <n v="8119.0"/>
        <n v="9399.0"/>
        <n v="15336.0"/>
        <n v="12477.0"/>
        <n v="7542.0"/>
        <n v="8449.0"/>
        <n v="16694.0"/>
        <n v="13807.0"/>
        <n v="15259.0"/>
        <n v="16030.0"/>
        <n v="12247.0"/>
        <n v="8763.0"/>
        <n v="14950.0"/>
        <n v="8540.0"/>
        <n v="17425.0"/>
        <n v="12858.0"/>
        <n v="12570.0"/>
        <n v="11302.0"/>
        <n v="8713.0"/>
        <n v="14722.0"/>
        <n v="14649.0"/>
        <n v="8059.0"/>
        <n v="12896.0"/>
        <n v="16210.0"/>
        <n v="9853.0"/>
        <n v="15478.0"/>
        <n v="11714.0"/>
        <n v="9579.0"/>
        <n v="9515.0"/>
        <n v="7842.0"/>
        <n v="12765.0"/>
        <n v="14161.0"/>
        <n v="8441.0"/>
        <n v="17752.0"/>
        <n v="17840.0"/>
        <n v="11760.0"/>
        <n v="12183.0"/>
        <n v="10898.0"/>
        <n v="9027.0"/>
        <n v="9315.0"/>
        <n v="17202.0"/>
        <n v="9345.0"/>
        <n v="16807.0"/>
        <n v="10320.0"/>
        <n v="10214.0"/>
        <n v="13151.0"/>
        <n v="18901.0"/>
        <n v="13135.0"/>
        <n v="14393.0"/>
        <n v="9590.0"/>
        <n v="8650.0"/>
        <n v="17383.0"/>
        <n v="14720.0"/>
        <n v="9026.0"/>
        <n v="17318.0"/>
        <n v="15210.0"/>
        <n v="14924.0"/>
        <n v="17681.0"/>
        <n v="12251.0"/>
        <n v="12319.0"/>
        <n v="8407.0"/>
        <n v="12569.0"/>
        <n v="12561.0"/>
        <n v="11280.0"/>
        <n v="11872.0"/>
        <n v="7573.0"/>
        <n v="16014.0"/>
        <n v="18587.0"/>
        <n v="13646.0"/>
        <n v="11987.0"/>
        <n v="13584.0"/>
        <n v="13405.0"/>
        <n v="13173.0"/>
        <n v="9202.0"/>
        <n v="18990.0"/>
        <n v="14989.0"/>
        <n v="9493.0"/>
        <n v="11562.0"/>
        <n v="18071.0"/>
        <n v="14145.0"/>
        <n v="13475.0"/>
        <n v="14167.0"/>
        <n v="12010.0"/>
        <n v="14685.0"/>
        <n v="10383.0"/>
        <n v="12188.0"/>
        <n v="17265.0"/>
        <n v="17550.0"/>
        <n v="10114.0"/>
        <n v="14604.0"/>
        <n v="7425.0"/>
        <n v="8146.0"/>
        <n v="10991.0"/>
        <n v="13424.0"/>
        <n v="14485.0"/>
        <n v="15956.0"/>
        <n v="13841.0"/>
        <n v="16897.0"/>
        <n v="13854.0"/>
        <n v="16016.0"/>
        <n v="18899.0"/>
        <n v="14292.0"/>
        <n v="12524.0"/>
        <n v="15696.0"/>
        <n v="15207.0"/>
        <n v="9798.0"/>
        <n v="14618.0"/>
        <n v="12687.0"/>
        <n v="13964.0"/>
        <n v="15106.0"/>
        <n v="16464.0"/>
        <n v="13185.0"/>
        <n v="7968.0"/>
        <n v="17869.0"/>
        <n v="13220.0"/>
        <n v="16395.0"/>
        <n v="18858.0"/>
        <n v="17999.0"/>
        <n v="13820.0"/>
        <n v="15484.0"/>
        <n v="17316.0"/>
        <n v="16420.0"/>
        <n v="15197.0"/>
        <n v="12438.0"/>
        <n v="7923.0"/>
        <n v="13069.0"/>
        <n v="9240.0"/>
        <n v="10860.0"/>
        <n v="11841.0"/>
        <n v="15972.0"/>
        <n v="7015.0"/>
        <n v="7847.0"/>
        <n v="8928.0"/>
        <n v="12757.0"/>
        <n v="12801.0"/>
        <n v="18081.0"/>
        <n v="7249.0"/>
        <n v="8224.0"/>
        <n v="15278.0"/>
        <n v="15981.0"/>
        <n v="13783.0"/>
        <n v="15356.0"/>
        <n v="18756.0"/>
        <n v="7607.0"/>
        <n v="15218.0"/>
        <n v="8988.0"/>
        <n v="13532.0"/>
        <n v="12973.0"/>
        <n v="16273.0"/>
        <n v="15990.0"/>
        <n v="17644.0"/>
        <n v="10552.0"/>
        <n v="13075.0"/>
        <n v="15428.0"/>
        <n v="13122.0"/>
        <n v="7125.0"/>
        <n v="9258.0"/>
        <n v="16167.0"/>
        <n v="13775.0"/>
        <n v="15733.0"/>
        <n v="15297.0"/>
        <n v="16880.0"/>
        <n v="9095.0"/>
        <n v="16973.0"/>
        <n v="17912.0"/>
        <n v="13705.0"/>
        <n v="13062.0"/>
        <n v="15342.0"/>
        <n v="14214.0"/>
        <n v="15741.0"/>
        <n v="18878.0"/>
        <n v="15219.0"/>
        <n v="10553.0"/>
        <n v="13403.0"/>
        <n v="14190.0"/>
        <n v="11019.0"/>
        <n v="14216.0"/>
        <n v="8570.0"/>
        <n v="15780.0"/>
        <n v="12278.0"/>
        <n v="16221.0"/>
        <n v="16403.0"/>
        <n v="11918.0"/>
        <n v="13664.0"/>
        <n v="17432.0"/>
        <n v="13707.0"/>
        <n v="15841.0"/>
        <n v="14550.0"/>
        <n v="12482.0"/>
        <n v="10186.0"/>
        <n v="15656.0"/>
        <n v="7052.0"/>
        <n v="7307.0"/>
        <n v="12901.0"/>
        <n v="13280.0"/>
        <n v="14650.0"/>
        <n v="18338.0"/>
        <n v="9825.0"/>
        <n v="13975.0"/>
        <n v="15286.0"/>
        <n v="10533.0"/>
        <n v="12259.0"/>
        <n v="13142.0"/>
        <n v="13770.0"/>
        <n v="14070.0"/>
        <n v="11986.0"/>
        <n v="12651.0"/>
        <n v="8294.0"/>
        <n v="12146.0"/>
        <n v="13247.0"/>
        <n v="10344.0"/>
        <n v="9932.0"/>
        <n v="14399.0"/>
        <n v="12575.0"/>
        <n v="11883.0"/>
        <n v="18795.0"/>
        <n v="7551.0"/>
        <n v="13978.0"/>
        <n v="10122.0"/>
        <n v="16690.0"/>
        <n v="17915.0"/>
        <n v="13812.0"/>
        <n v="13608.0"/>
        <n v="17337.0"/>
        <n v="15436.0"/>
        <n v="16469.0"/>
        <n v="12592.0"/>
        <n v="18794.0"/>
        <n v="18046.0"/>
        <n v="9906.0"/>
        <n v="12838.0"/>
        <n v="12545.0"/>
        <n v="18465.0"/>
        <n v="13444.0"/>
        <n v="16466.0"/>
        <n v="14220.0"/>
        <n v="10618.0"/>
        <n v="17172.0"/>
        <n v="13825.0"/>
        <n v="12562.0"/>
        <n v="17106.0"/>
        <n v="17104.0"/>
        <n v="14745.0"/>
        <n v="15598.0"/>
        <n v="12358.0"/>
        <n v="13355.0"/>
        <n v="8773.0"/>
        <n v="15801.0"/>
        <n v="18134.0"/>
        <n v="12900.0"/>
        <n v="17774.0"/>
        <n v="15036.0"/>
        <n v="13526.0"/>
        <n v="14251.0"/>
        <n v="17378.0"/>
        <n v="11409.0"/>
        <n v="17524.0"/>
        <n v="15019.0"/>
        <n v="9783.0"/>
        <n v="12804.0"/>
        <n v="15479.0"/>
        <n v="8607.0"/>
        <n v="17090.0"/>
        <n v="14802.0"/>
        <n v="10885.0"/>
        <n v="10118.0"/>
        <n v="15846.0"/>
        <n v="7163.0"/>
        <n v="17229.0"/>
        <n v="10679.0"/>
        <n v="14347.0"/>
        <n v="12678.0"/>
        <n v="15644.0"/>
        <n v="15322.0"/>
        <n v="7660.0"/>
        <n v="11551.0"/>
        <n v="14778.0"/>
        <n v="15364.0"/>
        <n v="7698.0"/>
        <n v="13701.0"/>
        <n v="15281.0"/>
        <n v="15520.0"/>
        <n v="12949.0"/>
        <n v="12533.0"/>
        <n v="10583.0"/>
        <n v="13412.0"/>
        <n v="16160.0"/>
        <n v="18045.0"/>
        <n v="14817.0"/>
        <n v="12038.0"/>
        <n v="16627.0"/>
        <n v="9272.0"/>
        <n v="15565.0"/>
        <n v="12640.0"/>
        <n v="12021.0"/>
        <n v="7908.0"/>
        <n v="9134.0"/>
        <n v="11043.0"/>
        <n v="17091.0"/>
        <n v="11979.0"/>
        <n v="8660.0"/>
        <n v="14974.0"/>
        <n v="18944.0"/>
        <n v="14073.0"/>
        <n v="18918.0"/>
        <n v="17306.0"/>
        <n v="18672.0"/>
        <n v="14595.0"/>
        <n v="17194.0"/>
        <n v="10663.0"/>
        <n v="11961.0"/>
        <n v="12458.0"/>
        <n v="14514.0"/>
        <n v="13291.0"/>
        <n v="16147.0"/>
        <n v="12959.0"/>
        <n v="10999.0"/>
        <n v="17761.0"/>
        <n v="15766.0"/>
        <n v="7753.0"/>
        <n v="16846.0"/>
        <n v="14293.0"/>
        <n v="7612.0"/>
        <n v="9117.0"/>
        <n v="10516.0"/>
        <n v="17283.0"/>
        <n v="12814.0"/>
        <n v="13757.0"/>
        <n v="8173.0"/>
        <n v="13585.0"/>
        <n v="12934.0"/>
        <n v="16111.0"/>
        <n v="10498.0"/>
        <n v="15327.0"/>
        <n v="12220.0"/>
        <n v="12636.0"/>
        <n v="16163.0"/>
        <n v="12461.0"/>
        <n v="18971.0"/>
        <n v="10593.0"/>
        <n v="15930.0"/>
        <n v="7043.0"/>
        <n v="13191.0"/>
        <n v="10268.0"/>
        <n v="13686.0"/>
        <n v="12596.0"/>
        <n v="10131.0"/>
        <n v="17178.0"/>
        <n v="12452.0"/>
        <n v="7623.0"/>
        <n v="14929.0"/>
        <n v="12889.0"/>
        <n v="10241.0"/>
        <n v="11292.0"/>
        <n v="18991.0"/>
        <n v="12887.0"/>
        <n v="10834.0"/>
        <n v="12500.0"/>
        <n v="11892.0"/>
        <n v="17394.0"/>
        <n v="13946.0"/>
        <n v="12374.0"/>
        <n v="12630.0"/>
        <n v="10229.0"/>
        <n v="12467.0"/>
        <n v="8207.0"/>
        <n v="13999.0"/>
        <n v="12840.0"/>
        <n v="17072.0"/>
        <n v="17953.0"/>
        <n v="9037.0"/>
        <n v="15452.0"/>
        <n v="12827.0"/>
        <n v="17481.0"/>
        <n v="7248.0"/>
        <n v="16088.0"/>
        <n v="9690.0"/>
        <n v="9361.0"/>
        <n v="9252.0"/>
        <n v="14823.0"/>
        <n v="16763.0"/>
        <n v="12040.0"/>
        <n v="14440.0"/>
        <n v="15505.0"/>
        <n v="8085.0"/>
        <n v="13336.0"/>
        <n v="12708.0"/>
        <n v="12153.0"/>
        <n v="13706.0"/>
        <n v="12221.0"/>
        <n v="11904.0"/>
        <n v="9067.0"/>
        <n v="7338.0"/>
        <n v="9055.0"/>
        <n v="12998.0"/>
        <n v="14181.0"/>
        <n v="13734.0"/>
        <n v="18152.0"/>
        <n v="7183.0"/>
        <n v="14029.0"/>
        <n v="18294.0"/>
        <n v="14203.0"/>
        <n v="17989.0"/>
        <n v="14157.0"/>
        <n v="14715.0"/>
        <n v="16559.0"/>
        <n v="7763.0"/>
        <n v="13248.0"/>
        <n v="12441.0"/>
        <n v="18599.0"/>
        <n v="18674.0"/>
        <n v="10574.0"/>
        <n v="12348.0"/>
        <n v="14277.0"/>
        <n v="14821.0"/>
        <n v="12484.0"/>
        <n v="13242.0"/>
        <n v="15538.0"/>
        <n v="15945.0"/>
        <n v="15194.0"/>
        <n v="12673.0"/>
        <n v="14103.0"/>
        <n v="10635.0"/>
        <n v="14949.0"/>
        <n v="13871.0"/>
        <n v="8586.0"/>
        <n v="14622.0"/>
        <n v="9511.0"/>
        <n v="9959.0"/>
        <n v="12846.0"/>
        <n v="12327.0"/>
        <n v="14597.0"/>
        <n v="10890.0"/>
        <n v="15568.0"/>
        <n v="12261.0"/>
        <n v="18680.0"/>
        <n v="18503.0"/>
        <n v="9701.0"/>
        <n v="13002.0"/>
        <n v="11225.0"/>
        <n v="13222.0"/>
        <n v="14752.0"/>
        <n v="12475.0"/>
        <n v="18106.0"/>
        <n v="17845.0"/>
        <n v="11238.0"/>
        <n v="14477.0"/>
        <n v="17552.0"/>
        <n v="9038.0"/>
        <n v="11006.0"/>
        <n v="13698.0"/>
        <n v="13826.0"/>
        <n v="16326.0"/>
        <n v="17523.0"/>
        <n v="12886.0"/>
        <n v="8226.0"/>
        <n v="13358.0"/>
        <n v="14188.0"/>
        <n v="13888.0"/>
        <n v="8522.0"/>
        <n v="18215.0"/>
        <n v="10706.0"/>
        <n v="10176.0"/>
        <n v="14814.0"/>
        <n v="10138.0"/>
        <n v="15821.0"/>
        <n v="16116.0"/>
        <n v="12419.0"/>
        <n v="18293.0"/>
        <n v="8571.0"/>
        <n v="13578.0"/>
        <n v="18314.0"/>
        <n v="10329.0"/>
        <n v="7588.0"/>
        <n v="8353.0"/>
        <n v="13960.0"/>
        <n v="17080.0"/>
        <n v="12290.0"/>
        <n v="9244.0"/>
        <n v="16765.0"/>
        <n v="11319.0"/>
        <n v="10367.0"/>
        <n v="15334.0"/>
        <n v="15251.0"/>
        <n v="13855.0"/>
        <n v="15365.0"/>
        <n v="8512.0"/>
        <n v="15963.0"/>
        <n v="16562.0"/>
        <n v="13275.0"/>
        <n v="7514.0"/>
        <n v="10810.0"/>
        <n v="8455.0"/>
        <n v="12969.0"/>
        <n v="16979.0"/>
        <n v="14156.0"/>
        <n v="15037.0"/>
        <n v="17191.0"/>
        <n v="8724.0"/>
        <n v="14069.0"/>
        <n v="16174.0"/>
        <n v="14522.0"/>
        <n v="12715.0"/>
        <n v="10205.0"/>
        <n v="14439.0"/>
        <n v="8802.0"/>
        <n v="18094.0"/>
        <n v="10056.0"/>
        <n v="9172.0"/>
        <n v="10939.0"/>
        <n v="18515.0"/>
        <n v="13602.0"/>
        <n v="14155.0"/>
        <n v="13755.0"/>
        <n v="9807.0"/>
        <n v="15097.0"/>
        <n v="13318.0"/>
        <n v="8054.0"/>
        <n v="12246.0"/>
        <n v="9499.0"/>
        <n v="12894.0"/>
        <n v="15288.0"/>
        <n v="9674.0"/>
        <n v="8350.0"/>
        <n v="10457.0"/>
        <n v="9323.0"/>
        <n v="18927.0"/>
        <n v="17653.0"/>
        <n v="9850.0"/>
        <n v="16793.0"/>
        <n v="14003.0"/>
        <n v="18959.0"/>
        <n v="10035.0"/>
        <n v="14678.0"/>
        <n v="12534.0"/>
        <n v="15699.0"/>
        <n v="15273.0"/>
        <n v="13778.0"/>
        <n v="13429.0"/>
        <n v="17852.0"/>
        <n v="12029.0"/>
        <n v="17835.0"/>
        <n v="14892.0"/>
        <n v="17284.0"/>
        <n v="14078.0"/>
        <n v="11461.0"/>
        <n v="10779.0"/>
        <n v="16369.0"/>
        <n v="7214.0"/>
        <n v="17772.0"/>
        <n v="18021.0"/>
        <n v="12984.0"/>
        <n v="11828.0"/>
        <n v="15488.0"/>
        <n v="15642.0"/>
        <n v="13003.0"/>
        <n v="8753.0"/>
        <n v="14679.0"/>
        <n v="8743.0"/>
        <n v="12340.0"/>
        <n v="8211.0"/>
        <n v="9880.0"/>
        <n v="15580.0"/>
        <n v="17594.0"/>
        <n v="7133.0"/>
        <n v="14607.0"/>
        <n v="16497.0"/>
        <n v="17887.0"/>
        <n v="13210.0"/>
        <n v="12444.0"/>
        <n v="16414.0"/>
        <n v="15771.0"/>
        <n v="11674.0"/>
        <n v="10899.0"/>
        <n v="12818.0"/>
        <n v="13375.0"/>
        <n v="17854.0"/>
        <n v="14152.0"/>
        <n v="9915.0"/>
        <n v="11168.0"/>
        <n v="17303.0"/>
        <n v="14995.0"/>
        <n v="15882.0"/>
        <n v="13356.0"/>
        <n v="12387.0"/>
        <n v="12336.0"/>
        <n v="11342.0"/>
        <n v="14008.0"/>
        <n v="12605.0"/>
        <n v="13261.0"/>
        <n v="12702.0"/>
        <n v="10422.0"/>
        <n v="12373.0"/>
      </sharedItems>
    </cacheField>
    <cacheField name="DiscountCode" numFmtId="0">
      <sharedItems containsBlank="1">
        <s v="DISC20"/>
        <s v="DISC10"/>
        <s v="DISC15"/>
        <s v="DISC30"/>
        <m/>
      </sharedItems>
    </cacheField>
    <cacheField name="DiscountPercent" numFmtId="0">
      <sharedItems containsString="0" containsBlank="1" containsNumber="1">
        <n v="0.2"/>
        <n v="0.1"/>
        <m/>
        <n v="0.3"/>
      </sharedItems>
    </cacheField>
    <cacheField name="TargetRevenue" numFmtId="0">
      <sharedItems containsSemiMixedTypes="0" containsString="0" containsNumber="1" containsInteger="1">
        <n v="14000.0"/>
        <n v="17000.0"/>
        <n v="13000.0"/>
        <n v="9000.0"/>
      </sharedItems>
    </cacheField>
    <cacheField name="PaymentDate" numFmtId="0">
      <sharedItems>
        <s v="17-02-2024"/>
        <s v="14-01-2024"/>
        <s v="27-01-2024"/>
        <s v="18-01-2024"/>
        <s v="24-02-2024"/>
        <s v="29-02-2024"/>
        <s v="15-02-2024"/>
        <s v="25-01-2024"/>
        <s v="14-02-2024"/>
        <s v="11/1/2024"/>
        <s v="23-02-2024"/>
        <s v="5/1/2024"/>
        <s v="10/1/2024"/>
        <s v="28-01-2024"/>
        <s v="6/1/2024"/>
        <s v="8/2/2024"/>
        <s v="25-02-2024"/>
        <s v="8/1/2024"/>
        <s v="2/2/2024"/>
        <s v="13-01-2024"/>
        <s v="1/2/2024"/>
        <s v="1/3/2024"/>
        <s v="29-01-2024"/>
        <s v="2/1/2024"/>
        <s v="15-01-2024"/>
        <s v="7/1/2024"/>
        <s v="13-02-2024"/>
        <s v="16-01-2024"/>
        <s v="19-01-2024"/>
        <s v="7/2/2024"/>
        <s v="31-01-2024"/>
        <s v="21-01-2024"/>
        <s v="26-01-2024"/>
        <s v="9/2/2024"/>
        <s v="3/1/2024"/>
        <s v="5/2/2024"/>
        <s v="4/2/2024"/>
        <s v="23-01-2024"/>
        <s v="20-02-2024"/>
        <s v="22-02-2024"/>
        <s v="22-01-2024"/>
        <s v="17-01-2024"/>
        <s v="3/2/2024"/>
        <s v="26-02-2024"/>
        <s v="30-01-2024"/>
        <s v="12/2/2024"/>
        <s v="18-02-2024"/>
        <s v="20-01-2024"/>
        <s v="27-02-2024"/>
        <s v="11/2/2024"/>
        <s v="21-02-2024"/>
        <s v="24-01-2024"/>
        <s v="6/2/2024"/>
        <s v="12/1/2024"/>
        <s v="1/1/2024"/>
        <s v="4/1/2024"/>
        <s v="10/2/2024"/>
        <s v="19-02-2024"/>
        <s v="28-02-2024"/>
        <s v="9/1/2024"/>
        <s v="16-02-2024"/>
      </sharedItems>
    </cacheField>
    <cacheField name="Target Revenue" numFmtId="0">
      <sharedItems>
        <s v="Below Target"/>
        <s v="Target Achieved"/>
      </sharedItems>
    </cacheField>
    <cacheField name="Percentage" numFmtId="10">
      <sharedItems containsSemiMixedTypes="0" containsString="0" containsNumber="1">
        <n v="0.516"/>
        <n v="0.5165165165165165"/>
        <n v="0.5170340681362725"/>
        <n v="0.5165496489468405"/>
        <n v="0.5170682730923695"/>
        <n v="0.5175879396984925"/>
        <n v="0.5171026156941649"/>
        <n v="0.5166163141993958"/>
        <n v="0.5161290322580645"/>
        <n v="0.5166498486377397"/>
        <n v="0.5161616161616162"/>
        <n v="0.5166835187057633"/>
        <n v="0.5172064777327935"/>
        <n v="0.5177304964539007"/>
        <n v="0.5182555780933062"/>
        <n v="0.5177664974619289"/>
        <n v="0.5172764227642277"/>
        <n v="0.5178026449643948"/>
        <n v="0.5173116089613035"/>
        <n v="0.5168195718654435"/>
        <n v="0.5163265306122449"/>
        <n v="0.515832482124617"/>
        <n v="0.516359918200409"/>
        <n v="0.5168884339815762"/>
        <n v="0.5163934426229508"/>
        <n v="0.5158974358974359"/>
        <n v="0.5164271047227926"/>
        <n v="0.5169578622816033"/>
        <n v="0.5174897119341564"/>
        <n v="0.518022657054583"/>
        <n v="0.5175257731958763"/>
        <n v="0.5180598555211559"/>
        <n v="0.518595041322314"/>
        <n v="0.5180972078593589"/>
        <n v="0.5186335403726708"/>
        <n v="0.5191709844559586"/>
        <n v="0.5197095435684648"/>
        <n v="0.5202492211838006"/>
        <n v="0.5197505197505198"/>
        <n v="0.5202913631633714"/>
        <n v="0.5197916666666667"/>
        <n v="0.5203336809176226"/>
        <n v="0.5208768267223383"/>
        <n v="0.5214211076280042"/>
        <n v="0.5219665271966527"/>
        <n v="0.5214659685863874"/>
        <n v="0.5209643605870021"/>
        <n v="0.5204616998950682"/>
        <n v="0.5199579831932774"/>
        <n v="0.519453207150368"/>
        <n v="0.5189473684210526"/>
        <n v="0.5194942044257113"/>
        <n v="0.520042194092827"/>
        <n v="0.5195353748680043"/>
        <n v="0.5190274841437632"/>
        <n v="0.5195767195767196"/>
        <n v="0.5201271186440678"/>
        <n v="0.5206786850477201"/>
        <n v="0.5201698513800425"/>
        <n v="0.5207226354941552"/>
        <n v="0.5212765957446809"/>
        <n v="0.5218317358892439"/>
        <n v="0.5213219616204691"/>
        <n v="0.5218783351120597"/>
        <n v="0.5224358974358975"/>
        <n v="0.5229946524064171"/>
        <n v="0.5224839400428265"/>
        <n v="0.5219721329046088"/>
        <n v="0.5214592274678111"/>
        <n v="0.5220193340494093"/>
        <n v="0.521505376344086"/>
        <n v="0.5220667384284177"/>
        <n v="0.521551724137931"/>
        <n v="0.5210355987055016"/>
        <n v="0.521598272138229"/>
        <n v="0.5221621621621622"/>
        <n v="0.5227272727272727"/>
        <n v="0.5222101841820151"/>
        <n v="0.5227765726681128"/>
        <n v="0.5233441910966341"/>
        <n v="0.5228260869565218"/>
        <n v="0.5233949945593036"/>
        <n v="0.5228758169934641"/>
        <n v="0.5234460196292258"/>
        <n v="0.5240174672489083"/>
        <n v="0.5245901639344263"/>
        <n v="0.5251641137855579"/>
        <n v="0.5257393209200438"/>
        <n v="0.5252192982456141"/>
        <n v="0.5246981339187706"/>
        <n v="0.5252747252747253"/>
        <n v="0.5247524752475248"/>
        <n v="0.5242290748898678"/>
        <n v="0.5248070562293274"/>
        <n v="0.5253863134657837"/>
        <n v="0.5248618784530387"/>
        <n v="0.5243362831858407"/>
        <n v="0.5238095238095238"/>
        <n v="0.5232815964523282"/>
        <n v="0.5238623751387348"/>
        <n v="0.5233333333333333"/>
        <n v="0.5228031145717463"/>
        <n v="0.5233853006681515"/>
        <n v="0.5239687848383501"/>
        <n v="0.5234375"/>
        <n v="0.5229050279329609"/>
        <n v="0.5234899328859061"/>
        <n v="0.522956326987682"/>
        <n v="0.523542600896861"/>
        <n v="0.5241301907968574"/>
        <n v="0.5235955056179775"/>
        <n v="0.5241844769403825"/>
        <n v="0.5236486486486487"/>
        <n v="0.52423900789177"/>
        <n v="0.5248306997742663"/>
        <n v="0.5242937853107345"/>
        <n v="0.5237556561085973"/>
        <n v="0.5232163080407701"/>
        <n v="0.5226757369614512"/>
        <n v="0.5221339387060159"/>
        <n v="0.5215909090909091"/>
        <n v="0.5221843003412969"/>
        <n v="0.5227790432801822"/>
        <n v="0.5233751425313569"/>
        <n v="0.5228310502283106"/>
        <n v="0.5222857142857142"/>
        <n v="0.522883295194508"/>
        <n v="0.5234822451317297"/>
        <n v="0.5240825688073395"/>
        <n v="0.5235361653272101"/>
        <n v="0.5229885057471264"/>
        <n v="0.523590333716916"/>
        <n v="0.5230414746543779"/>
        <n v="0.5224913494809689"/>
        <n v="0.523094688221709"/>
        <n v="0.522543352601156"/>
        <n v="0.5231481481481481"/>
        <n v="0.522595596755504"/>
        <n v="0.5232018561484919"/>
        <n v="0.5244186046511627"/>
        <n v="0.5250291036088475"/>
        <n v="0.5256410256410257"/>
        <n v="0.5250875145857643"/>
        <n v="0.5257009345794392"/>
        <n v="0.5251461988304094"/>
        <n v="0.5257611241217799"/>
        <n v="0.5252051582649473"/>
        <n v="0.5258215962441315"/>
        <n v="0.5264394829612221"/>
        <n v="0.5270588235294118"/>
        <n v="0.5265017667844523"/>
        <n v="0.5259433962264151"/>
        <n v="0.525383707201889"/>
        <n v="0.5260047281323877"/>
        <n v="0.5254437869822485"/>
        <n v="0.5248815165876777"/>
        <n v="0.5243179122182681"/>
        <n v="0.5237529691211401"/>
        <n v="0.5231866825208086"/>
        <n v="0.5244338498212158"/>
        <n v="0.5238663484486874"/>
        <n v="0.5244922341696535"/>
        <n v="0.5251196172248804"/>
        <n v="0.525748502994012"/>
        <n v="0.526378896882494"/>
        <n v="0.5258103241296519"/>
        <n v="0.5252403846153846"/>
        <n v="0.5258724428399518"/>
        <n v="0.5265060240963856"/>
        <n v="0.525934861278649"/>
        <n v="0.5253623188405797"/>
        <n v="0.524788391777509"/>
        <n v="0.5242130750605327"/>
        <n v="0.5236363636363637"/>
        <n v="0.5242718446601942"/>
        <n v="0.5249088699878494"/>
        <n v="0.5255474452554745"/>
        <n v="0.5249695493300852"/>
        <n v="0.525609756097561"/>
        <n v="0.525030525030525"/>
        <n v="0.5256723716381418"/>
        <n v="0.5250917992656059"/>
        <n v="0.5245098039215687"/>
        <n v="0.5251533742331288"/>
        <n v="0.5245700245700246"/>
        <n v="0.5252152521525215"/>
        <n v="0.5258620689655172"/>
        <n v="0.5265104808877928"/>
        <n v="0.5259259259259259"/>
        <n v="0.5265760197775031"/>
        <n v="0.525990099009901"/>
        <n v="0.5266418835192069"/>
        <n v="0.5272952853598015"/>
        <n v="0.5279503105590062"/>
        <n v="0.527363184079602"/>
        <n v="0.526774595267746"/>
        <n v="0.5261845386533666"/>
        <n v="0.5255930087390761"/>
        <n v="0.525"/>
        <n v="0.5256570713391739"/>
        <n v="0.5263157894736842"/>
        <n v="0.5269761606022585"/>
        <n v="0.5263819095477387"/>
        <n v="0.5270440251572327"/>
        <n v="0.5277078085642317"/>
        <n v="0.5283732660781841"/>
        <n v="0.5290404040404041"/>
        <n v="0.5284450063211125"/>
        <n v="0.529113924050633"/>
        <n v="0.5297845373891001"/>
        <n v="0.5291878172588832"/>
        <n v="0.5298602287166455"/>
        <n v="0.5305343511450382"/>
        <n v="0.5312101910828025"/>
        <n v="0.5306122448979592"/>
        <n v="0.5300127713920817"/>
        <n v="0.5294117647058824"/>
        <n v="0.528809218950064"/>
        <n v="0.5294871794871795"/>
        <n v="0.5301668806161746"/>
        <n v="0.5295629820051414"/>
        <n v="0.5302445302445302"/>
        <n v="0.5309278350515464"/>
        <n v="0.5303225806451612"/>
        <n v="0.5297157622739018"/>
        <n v="0.5304010349288486"/>
        <n v="0.5310880829015544"/>
        <n v="0.5317769130998703"/>
        <n v="0.5311688311688312"/>
        <n v="0.5318595578673602"/>
        <n v="0.53125"/>
        <n v="0.530638852672751"/>
        <n v="0.5313315926892951"/>
        <n v="0.5320261437908497"/>
        <n v="0.5314136125654451"/>
        <n v="0.5321100917431193"/>
        <n v="0.5328083989501312"/>
        <n v="0.5321944809461235"/>
        <n v="0.5328947368421053"/>
        <n v="0.5322793148880105"/>
        <n v="0.5329815303430079"/>
        <n v="0.5336856010568032"/>
        <n v="0.5343915343915344"/>
        <n v="0.5337748344370861"/>
        <n v="0.5344827586206896"/>
        <n v="0.5338645418326693"/>
        <n v="0.5345744680851063"/>
        <n v="0.5339547270306259"/>
        <n v="0.5333333333333333"/>
        <n v="0.5340453938584779"/>
        <n v="0.5334224598930482"/>
        <n v="0.5341365461847389"/>
        <n v="0.5335120643431636"/>
        <n v="0.5342281879194631"/>
        <n v="0.5336021505376344"/>
        <n v="0.5329744279946165"/>
        <n v="0.5336927223719676"/>
        <n v="0.5344129554655871"/>
        <n v="0.5337837837837838"/>
        <n v="0.5345060893098782"/>
        <n v="0.5338753387533876"/>
        <n v="0.5332428765264586"/>
        <n v="0.532608695652174"/>
        <n v="0.5319727891156463"/>
        <n v="0.5326975476839237"/>
        <n v="0.5320600272851296"/>
        <n v="0.5314207650273224"/>
        <n v="0.53077975376197"/>
        <n v="0.5301369863013699"/>
        <n v="0.5294924554183813"/>
        <n v="0.5302197802197802"/>
        <n v="0.530949105914718"/>
        <n v="0.5303030303030303"/>
        <n v="0.5310344827586206"/>
        <n v="0.5317679558011049"/>
        <n v="0.5311203319502075"/>
        <n v="0.5304709141274239"/>
        <n v="0.5312066574202496"/>
        <n v="0.5305555555555556"/>
        <n v="0.5299026425591099"/>
        <n v="0.5292479108635098"/>
        <n v="0.5285913528591353"/>
        <n v="0.5293296089385475"/>
        <n v="0.5300699300699301"/>
        <n v="0.5301542776998598"/>
        <n v="0.5294943820224719"/>
        <n v="0.530239099859353"/>
        <n v="0.5295774647887324"/>
        <n v="0.5289139633286318"/>
        <n v="0.5282485875706214"/>
        <n v="0.5275813295615276"/>
        <n v="0.5269121813031161"/>
        <n v="0.5276595744680851"/>
        <n v="0.5269886363636364"/>
        <n v="0.5277382645803699"/>
        <n v="0.5284900284900285"/>
        <n v="0.5278174037089871"/>
        <n v="0.5285714285714286"/>
        <n v="0.5293276108726752"/>
        <n v="0.5286532951289399"/>
        <n v="0.5287356321839081"/>
        <n v="0.5280575539568345"/>
        <n v="0.5288184438040345"/>
        <n v="0.5281385281385281"/>
        <n v="0.5274566473988439"/>
        <n v="0.5267727930535456"/>
        <n v="0.527536231884058"/>
        <n v="0.5268505079825835"/>
        <n v="0.5261627906976745"/>
        <n v="0.5269286754002911"/>
        <n v="0.5276967930029155"/>
        <n v="0.5284671532846715"/>
        <n v="0.5292397660818714"/>
        <n v="0.5285505124450952"/>
        <n v="0.5293255131964809"/>
        <n v="0.5286343612334802"/>
        <n v="0.5279411764705882"/>
        <n v="0.5287187039764359"/>
        <n v="0.528023598820059"/>
        <n v="0.5288035450516987"/>
        <n v="0.5281065088757396"/>
        <n v="0.5274074074074074"/>
        <n v="0.526706231454006"/>
        <n v="0.5260029717682021"/>
        <n v="0.5252976190476191"/>
        <n v="0.526080476900149"/>
        <n v="0.5253731343283582"/>
        <n v="0.5261584454409567"/>
        <n v="0.5254491017964071"/>
        <n v="0.5247376311844077"/>
        <n v="0.5255255255255256"/>
        <n v="0.524812030075188"/>
        <n v="0.5240963855421686"/>
        <n v="0.5233785822021116"/>
        <n v="0.5226586102719033"/>
        <n v="0.5234493192133132"/>
        <n v="0.5242424242424243"/>
        <n v="0.5250379362670713"/>
        <n v="0.5243161094224924"/>
        <n v="0.5235920852359208"/>
        <n v="0.5228658536585366"/>
        <n v="0.5221374045801527"/>
        <n v="0.5214067278287462"/>
        <n v="0.5206738131699847"/>
        <n v="0.5214723926380368"/>
        <n v="0.5207373271889401"/>
        <n v="0.52"/>
        <n v="0.5192604006163328"/>
        <n v="0.5185185185185185"/>
        <n v="0.517774343122102"/>
        <n v="0.5170278637770898"/>
        <n v="0.5162790697674419"/>
        <n v="0.515527950310559"/>
        <n v="0.5147744945567652"/>
        <n v="0.514018691588785"/>
        <n v="0.514820592823713"/>
        <n v="0.515625"/>
        <n v="0.514866979655712"/>
        <n v="0.5141065830721003"/>
        <n v="0.5133437990580848"/>
        <n v="0.5141509433962265"/>
        <n v="0.5149606299212598"/>
        <n v="0.5141955835962145"/>
        <n v="0.5134281200631912"/>
        <n v="0.5126582278481012"/>
        <n v="0.5118858954041204"/>
        <n v="0.5126984126984127"/>
        <n v="0.5119236883942766"/>
        <n v="0.5127388535031847"/>
        <n v="0.5135566188197768"/>
        <n v="0.5143769968051118"/>
        <n v="0.5152"/>
        <n v="0.5160256410256411"/>
        <n v="0.5152487961476726"/>
        <n v="0.5160771704180064"/>
        <n v="0.5169082125603864"/>
        <n v="0.5177419354838709"/>
        <n v="0.518578352180937"/>
        <n v="0.517799352750809"/>
        <n v="0.5186385737439222"/>
        <n v="0.5178571428571429"/>
        <n v="0.5186991869918699"/>
        <n v="0.5195439739413681"/>
        <n v="0.5203915171288744"/>
        <n v="0.5212418300653595"/>
        <n v="0.5204582651391162"/>
        <n v="0.519672131147541"/>
        <n v="0.5205254515599343"/>
        <n v="0.5213815789473685"/>
        <n v="0.5222405271828665"/>
        <n v="0.523102310231023"/>
        <n v="0.5223140495867769"/>
        <n v="0.5215231788079471"/>
        <n v="0.5223880597014925"/>
        <n v="0.521594684385382"/>
        <n v="0.5207986688851913"/>
        <n v="0.5216666666666666"/>
        <n v="0.5225375626043406"/>
        <n v="0.5217391304347826"/>
        <n v="0.5226130653266332"/>
        <n v="0.5218120805369127"/>
        <n v="0.5210084033613446"/>
        <n v="0.5218855218855218"/>
        <n v="0.5227655986509275"/>
        <n v="0.5219594594594594"/>
        <n v="0.5211505922165821"/>
        <n v="0.5203389830508475"/>
        <n v="0.5195246179966044"/>
        <n v="0.5187074829931972"/>
        <n v="0.5195911413969335"/>
        <n v="0.5204778156996587"/>
        <n v="0.5196581196581197"/>
        <n v="0.5188356164383562"/>
        <n v="0.5197255574614065"/>
        <n v="0.5189003436426117"/>
        <n v="0.5197934595524957"/>
        <n v="0.5189655172413793"/>
        <n v="0.5181347150259067"/>
        <n v="0.5190311418685121"/>
        <n v="0.5181975736568457"/>
        <n v="0.5173611111111112"/>
        <n v="0.5165217391304348"/>
        <n v="0.5156794425087108"/>
        <n v="0.5148342059336823"/>
        <n v="0.513986013986014"/>
        <n v="0.5131348511383538"/>
        <n v="0.5140350877192983"/>
        <n v="0.5149384885764499"/>
        <n v="0.5158450704225352"/>
        <n v="0.5167548500881834"/>
        <n v="0.5176678445229682"/>
        <n v="0.5185840707964602"/>
        <n v="0.5195035460992907"/>
        <n v="0.5204262877442274"/>
        <n v="0.5213523131672598"/>
        <n v="0.5204991087344029"/>
        <n v="0.5196428571428572"/>
        <n v="0.5205724508050089"/>
        <n v="0.5206463195691203"/>
        <n v="0.5215827338129496"/>
        <n v="0.5207207207207207"/>
        <n v="0.51985559566787"/>
        <n v="0.5189873417721519"/>
        <n v="0.5181159420289855"/>
        <n v="0.5190562613430127"/>
        <n v="0.5181818181818182"/>
        <n v="0.517304189435337"/>
        <n v="0.5182481751824818"/>
        <n v="0.5173674588665448"/>
        <n v="0.5183150183150184"/>
        <n v="0.5192660550458715"/>
        <n v="0.5183823529411765"/>
        <n v="0.5174953959484346"/>
        <n v="0.518450184501845"/>
        <n v="0.5175600739371534"/>
        <n v="0.5166666666666667"/>
        <n v="0.5157699443413729"/>
        <n v="0.5148698884758365"/>
        <n v="0.515828677839851"/>
        <n v="0.5167910447761194"/>
        <n v="0.5158878504672897"/>
        <n v="0.5149812734082397"/>
        <n v="0.5140712945590994"/>
        <n v="0.5150375939849624"/>
        <n v="0.5160075329566854"/>
        <n v="0.5169811320754717"/>
        <n v="0.5160680529300568"/>
        <n v="0.5170454545454546"/>
        <n v="0.5152091254752852"/>
        <n v="0.5161904761904762"/>
        <n v="0.5152671755725191"/>
        <n v="0.5162523900573613"/>
        <n v="0.5153256704980843"/>
        <n v="0.5143953934740882"/>
        <n v="0.5153846153846153"/>
        <n v="0.5163776493256262"/>
        <n v="0.5173745173745173"/>
        <n v="0.5183752417794971"/>
        <n v="0.5193798449612403"/>
        <n v="0.5184466019417475"/>
        <n v="0.519455252918288"/>
        <n v="0.517578125"/>
        <n v="0.5185909980430529"/>
        <n v="0.5196078431372549"/>
        <n v="0.518664047151277"/>
        <n v="0.5177165354330708"/>
        <n v="0.5167652859960552"/>
        <n v="0.5158102766798419"/>
        <n v="0.5148514851485149"/>
        <n v="0.5138888888888888"/>
        <n v="0.5129224652087475"/>
        <n v="0.5139442231075697"/>
        <n v="0.5149700598802395"/>
        <n v="0.5180722891566265"/>
        <n v="0.5191146881287726"/>
        <n v="0.5181451612903226"/>
        <n v="0.5171717171717172"/>
        <n v="0.5182186234817814"/>
        <n v="0.5192697768762677"/>
        <n v="0.5203252032520326"/>
        <n v="0.5213849287169042"/>
        <n v="0.5224489795918368"/>
        <n v="0.523517382413088"/>
        <n v="0.5236139630390144"/>
        <n v="0.5246913580246914"/>
        <n v="0.5257731958762887"/>
        <n v="0.5247933884297521"/>
        <n v="0.524896265560166"/>
        <n v="0.525987525987526"/>
        <n v="0.5260960334029228"/>
        <n v="0.5251046025104602"/>
        <n v="0.5262054507337526"/>
        <n v="0.5252100840336135"/>
        <n v="0.5274261603375527"/>
        <n v="0.5264270613107822"/>
        <n v="0.5254237288135594"/>
        <n v="0.524416135881104"/>
        <n v="0.5234042553191489"/>
        <n v="0.5235042735042735"/>
        <n v="0.5246252676659529"/>
        <n v="0.5236051502145923"/>
        <n v="0.524731182795699"/>
        <n v="0.5237068965517241"/>
        <n v="0.5226781857451404"/>
        <n v="0.5216450216450217"/>
        <n v="0.5218340611353712"/>
        <n v="0.5207877461706784"/>
        <n v="0.5219298245614035"/>
        <n v="0.5208791208791209"/>
        <n v="0.5198237885462555"/>
        <n v="0.5209713024282561"/>
        <n v="0.5199115044247787"/>
        <n v="0.5210643015521065"/>
        <n v="0.5222222222222223"/>
        <n v="0.5211581291759465"/>
        <n v="0.5223214285714286"/>
        <n v="0.5212527964205816"/>
        <n v="0.5224215246636771"/>
        <n v="0.5213483146067416"/>
        <n v="0.5225225225225225"/>
        <n v="0.5237020316027088"/>
        <n v="0.5248868778280543"/>
        <n v="0.5260770975056689"/>
        <n v="0.5272727272727272"/>
        <n v="0.5284738041002278"/>
        <n v="0.5273972602739726"/>
        <n v="0.5275229357798165"/>
        <n v="0.5276497695852534"/>
        <n v="0.5288683602771362"/>
        <n v="0.5277777777777778"/>
        <n v="0.5290023201856149"/>
        <n v="0.5302325581395348"/>
        <n v="0.5314685314685315"/>
        <n v="0.5327102803738317"/>
        <n v="0.5339578454332553"/>
        <n v="0.5328638497652582"/>
        <n v="0.5317647058823529"/>
        <n v="0.5306603773584906"/>
        <n v="0.5295508274231678"/>
        <n v="0.5284360189573459"/>
        <n v="0.5273159144893111"/>
        <n v="0.5274463007159904"/>
        <n v="0.5251798561151079"/>
        <n v="0.5264423076923077"/>
        <n v="0.5277108433734939"/>
        <n v="0.5289855072463768"/>
        <n v="0.5302663438256658"/>
        <n v="0.5315533980582524"/>
        <n v="0.5304136253041363"/>
        <n v="0.5292682926829269"/>
        <n v="0.5281173594132029"/>
        <n v="0.5307125307125307"/>
        <n v="0.5295566502463054"/>
        <n v="0.5308641975308642"/>
        <n v="0.5321782178217822"/>
        <n v="0.533498759305211"/>
        <n v="0.5323383084577115"/>
        <n v="0.5336658354114713"/>
        <n v="0.5325"/>
        <n v="0.531328320802005"/>
        <n v="0.5301507537688442"/>
        <n v="0.5289672544080605"/>
        <n v="0.5316455696202531"/>
        <n v="0.5329949238578681"/>
        <n v="0.5343511450381679"/>
        <n v="0.5331632653061225"/>
        <n v="0.5319693094629157"/>
        <n v="0.5307692307692308"/>
        <n v="0.532133676092545"/>
        <n v="0.5335051546391752"/>
        <n v="0.5322997416020672"/>
        <n v="0.5324675324675324"/>
        <n v="0.5300261096605744"/>
        <n v="0.5287958115183246"/>
        <n v="0.5301837270341208"/>
        <n v="0.531578947368421"/>
        <n v="0.5303430079155673"/>
        <n v="0.5291005291005291"/>
        <n v="0.5278514588859416"/>
        <n v="0.526595744680851"/>
        <n v="0.528"/>
        <n v="0.5267379679144385"/>
        <n v="0.5281501340482574"/>
        <n v="0.5268817204301075"/>
        <n v="0.5256064690026954"/>
        <n v="0.5243243243243243"/>
        <n v="0.5257452574525745"/>
        <n v="0.5244565217391305"/>
        <n v="0.5231607629427792"/>
        <n v="0.5218579234972678"/>
        <n v="0.5205479452054794"/>
        <n v="0.5192307692307693"/>
        <n v="0.5179063360881543"/>
        <n v="0.5193370165745856"/>
        <n v="0.518005540166205"/>
        <n v="0.5194444444444445"/>
        <n v="0.5181058495821727"/>
        <n v="0.5167597765363129"/>
        <n v="0.5182072829131653"/>
        <n v="0.5168539325842697"/>
        <n v="0.5154929577464789"/>
        <n v="0.5169491525423728"/>
        <n v="0.5155807365439093"/>
        <n v="0.5142045454545454"/>
        <n v="0.5128205128205128"/>
        <n v="0.5114285714285715"/>
        <n v="0.5128939828080229"/>
        <n v="0.514367816091954"/>
        <n v="0.5129682997118156"/>
        <n v="0.5115606936416185"/>
        <n v="0.5101449275362319"/>
        <n v="0.5116279069767442"/>
        <n v="0.5131195335276968"/>
        <n v="0.5116959064327485"/>
        <n v="0.5131964809384164"/>
        <n v="0.5147058823529411"/>
        <n v="0.5132743362831859"/>
        <n v="0.5118343195266272"/>
        <n v="0.5133531157270029"/>
        <n v="0.5119047619047619"/>
        <n v="0.5134328358208955"/>
        <n v="0.5119760479041916"/>
        <n v="0.5135135135135135"/>
        <n v="0.5150602409638554"/>
        <n v="0.513595166163142"/>
        <n v="0.5121212121212121"/>
        <n v="0.513677811550152"/>
        <n v="0.5121951219512195"/>
        <n v="0.5107033639143731"/>
        <n v="0.5122699386503068"/>
        <n v="0.5138461538461538"/>
        <n v="0.5123456790123457"/>
        <n v="0.5139318885448917"/>
        <n v="0.5171339563862928"/>
        <n v="0.51875"/>
        <n v="0.5172413793103449"/>
        <n v="0.5188679245283019"/>
        <n v="0.5173501577287066"/>
        <n v="0.5206349206349207"/>
        <n v="0.5191082802547771"/>
        <n v="0.5175718849840255"/>
        <n v="0.5144694533762058"/>
        <n v="0.5129032258064516"/>
        <n v="0.511326860841424"/>
        <n v="0.5097402597402597"/>
        <n v="0.50814332247557"/>
        <n v="0.5065359477124183"/>
        <n v="0.5049180327868853"/>
        <n v="0.506578947368421"/>
        <n v="0.5082508250825083"/>
        <n v="0.5066225165562914"/>
        <n v="0.5083056478405316"/>
        <n v="0.51"/>
        <n v="0.5117056856187291"/>
        <n v="0.5100671140939598"/>
        <n v="0.5084175084175084"/>
        <n v="0.5101351351351351"/>
        <n v="0.511864406779661"/>
        <n v="0.5136054421768708"/>
        <n v="0.5119453924914675"/>
        <n v="0.5136986301369864"/>
        <n v="0.5120274914089347"/>
        <n v="0.5103448275862069"/>
        <n v="0.5121107266435986"/>
        <n v="0.5104166666666666"/>
        <n v="0.5104895104895105"/>
        <n v="0.512280701754386"/>
        <n v="0.5105633802816901"/>
        <n v="0.5123674911660777"/>
        <n v="0.5141843971631206"/>
        <n v="0.5124555160142349"/>
        <n v="0.5142857142857142"/>
        <n v="0.5179856115107914"/>
        <n v="0.5201465201465202"/>
        <n v="0.5220588235294118"/>
        <n v="0.5202952029520295"/>
        <n v="0.5204460966542751"/>
        <n v="0.5205992509363296"/>
        <n v="0.518796992481203"/>
        <n v="0.5207547169811321"/>
        <n v="0.5209125475285171"/>
        <n v="0.5229007633587787"/>
        <n v="0.5210727969348659"/>
        <n v="0.5230769230769231"/>
        <n v="0.5212355212355212"/>
        <n v="0.5232558139534884"/>
        <n v="0.5214007782101168"/>
        <n v="0.5254901960784314"/>
        <n v="0.5236220472440944"/>
        <n v="0.525691699604743"/>
        <n v="0.5298804780876494"/>
        <n v="0.5301204819277109"/>
        <n v="0.532258064516129"/>
        <n v="0.5303643724696356"/>
        <n v="0.532520325203252"/>
        <n v="0.5286885245901639"/>
        <n v="0.5267489711934157"/>
        <n v="0.5289256198347108"/>
        <n v="0.5291666666666667"/>
        <n v="0.5271966527196653"/>
        <n v="0.5338983050847458"/>
        <n v="0.5319148936170213"/>
        <n v="0.5299145299145299"/>
        <n v="0.5278969957081545"/>
        <n v="0.5304347826086957"/>
        <n v="0.5283842794759825"/>
        <n v="0.5265486725663717"/>
        <n v="0.5244444444444445"/>
        <n v="0.5267857142857143"/>
        <n v="0.5291479820627802"/>
        <n v="0.5315315315315315"/>
        <n v="0.5339366515837104"/>
        <n v="0.5363636363636364"/>
        <n v="0.5342465753424658"/>
        <n v="0.536697247706422"/>
        <n v="0.5345622119815668"/>
        <n v="0.5370370370370371"/>
        <n v="0.5348837209302325"/>
        <n v="0.5373831775700935"/>
        <n v="0.5352112676056338"/>
        <n v="0.5377358490566038"/>
        <n v="0.5355450236966824"/>
        <n v="0.5311004784688995"/>
        <n v="0.5288461538461539"/>
        <n v="0.5265700483091788"/>
        <n v="0.529126213592233"/>
        <n v="0.526829268292683"/>
        <n v="0.5320197044334976"/>
        <n v="0.5346534653465347"/>
        <n v="0.5373134328358209"/>
        <n v="0.535"/>
        <n v="0.5326633165829145"/>
        <n v="0.5282051282051282"/>
        <n v="0.533678756476684"/>
        <n v="0.5364583333333334"/>
        <n v="0.5392670157068062"/>
        <n v="0.5368421052631579"/>
        <n v="0.5396825396825397"/>
        <n v="0.5425531914893617"/>
        <n v="0.5401069518716578"/>
        <n v="0.5376344086021505"/>
        <n v="0.5351351351351351"/>
        <n v="0.5380434782608695"/>
        <n v="0.5409836065573771"/>
        <n v="0.5384615384615384"/>
        <n v="0.5359116022099447"/>
        <n v="0.5363128491620112"/>
        <n v="0.5393258426966292"/>
        <n v="0.536723163841808"/>
        <n v="0.5340909090909091"/>
        <n v="0.5314285714285715"/>
        <n v="0.5317919075144508"/>
        <n v="0.5290697674418605"/>
        <n v="0.5325443786982249"/>
        <n v="0.5357142857142857"/>
        <n v="0.5329341317365269"/>
        <n v="0.536144578313253"/>
        <n v="0.5304878048780488"/>
        <n v="0.5337423312883436"/>
        <n v="0.5283018867924528"/>
        <n v="0.5286624203821656"/>
        <n v="0.532051282051282"/>
        <n v="0.5290322580645161"/>
        <n v="0.525974025974026"/>
        <n v="0.5364238410596026"/>
        <n v="0.5302013422818792"/>
        <n v="0.5241379310344828"/>
        <n v="0.5244755244755245"/>
        <n v="0.5211267605633803"/>
        <n v="0.524822695035461"/>
        <n v="0.5323741007194245"/>
        <n v="0.5267175572519084"/>
        <n v="0.5271317829457365"/>
        <n v="0.5275590551181102"/>
        <n v="0.5317460317460317"/>
        <n v="0.536"/>
        <n v="0.5284552845528455"/>
        <n v="0.5327868852459017"/>
        <n v="0.5371900826446281"/>
        <n v="0.5378151260504201"/>
        <n v="0.5423728813559322"/>
        <n v="0.5470085470085471"/>
        <n v="0.5517241379310345"/>
        <n v="0.5478260869565217"/>
        <n v="0.5526315789473685"/>
        <n v="0.5486725663716814"/>
        <n v="0.5446428571428571"/>
        <n v="0.5495495495495496"/>
        <n v="0.5545454545454546"/>
        <n v="0.5596330275229358"/>
        <n v="0.5555555555555556"/>
        <n v="0.5514018691588785"/>
        <n v="0.5471698113207547"/>
        <n v="0.5523809523809524"/>
        <n v="0.5480769230769231"/>
        <n v="0.5436893203883495"/>
        <n v="0.5490196078431373"/>
        <n v="0.5445544554455446"/>
        <n v="0.55"/>
        <n v="0.5454545454545454"/>
        <n v="0.5408163265306123"/>
        <n v="0.5463917525773195"/>
        <n v="0.5416666666666666"/>
        <n v="0.5274725274725275"/>
        <n v="0.5113636363636364"/>
        <n v="0.5058823529411764"/>
        <n v="0.5"/>
        <n v="0.5060240963855421"/>
        <n v="0.5061728395061729"/>
        <n v="0.5125"/>
        <n v="0.5194805194805194"/>
        <n v="0.5131578947368421"/>
        <n v="0.5066666666666667"/>
        <n v="0.4931506849315068"/>
        <n v="0.4861111111111111"/>
        <n v="0.49295774647887325"/>
        <n v="0.4857142857142857"/>
        <n v="0.4782608695652174"/>
        <n v="0.4852941176470588"/>
        <n v="0.47761194029850745"/>
        <n v="0.4696969696969697"/>
        <n v="0.47692307692307695"/>
        <n v="0.484375"/>
        <n v="0.47619047619047616"/>
        <n v="0.46774193548387094"/>
        <n v="0.45901639344262296"/>
        <n v="0.45"/>
        <n v="0.4576271186440678"/>
        <n v="0.46551724137931033"/>
        <n v="0.45614035087719296"/>
        <n v="0.4642857142857143"/>
        <n v="0.45454545454545453"/>
        <n v="0.4444444444444444"/>
        <n v="0.4339622641509434"/>
        <n v="0.4423076923076923"/>
        <n v="0.43137254901960786"/>
        <n v="0.44"/>
        <n v="0.4489795918367347"/>
        <n v="0.4583333333333333"/>
        <n v="0.44680851063829785"/>
        <n v="0.43478260869565216"/>
        <n v="0.46511627906976744"/>
        <n v="0.4523809523809524"/>
        <n v="0.4634146341463415"/>
        <n v="0.46153846153846156"/>
        <n v="0.4473684210526316"/>
        <n v="0.4594594594594595"/>
        <n v="0.4722222222222222"/>
        <n v="0.47058823529411764"/>
        <n v="0.4375"/>
        <n v="0.45161290322580644"/>
        <n v="0.43333333333333335"/>
        <n v="0.4482758620689655"/>
        <n v="0.42857142857142855"/>
        <n v="0.4074074074074074"/>
        <n v="0.4230769230769231"/>
        <n v="0.4166666666666667"/>
        <n v="0.47368421052631576"/>
        <n v="0.4117647058823529"/>
        <n v="0.375"/>
        <n v="0.3333333333333333"/>
        <n v="0.35714285714285715"/>
        <n v="0.3076923076923077"/>
        <n v="0.25"/>
        <n v="0.18181818181818182"/>
        <n v="0.2"/>
        <n v="0.2222222222222222"/>
        <n v="0.2857142857142857"/>
        <n v="0.0"/>
      </sharedItems>
    </cacheField>
    <cacheField name="New Discount Percent " numFmtId="10">
      <sharedItems containsString="0" containsBlank="1" containsNumber="1">
        <n v="0.2"/>
        <n v="0.1"/>
        <m/>
        <n v="0.3"/>
        <n v="0.0"/>
      </sharedItems>
    </cacheField>
    <cacheField name="Net Revenue" numFmtId="4">
      <sharedItems containsSemiMixedTypes="0" containsString="0" containsNumber="1">
        <n v="10331.2"/>
        <n v="10909.800000000001"/>
        <n v="12461.85"/>
        <n v="11711.699999999999"/>
        <n v="10777.199999999999"/>
        <n v="15476.4"/>
        <n v="13891.2"/>
        <n v="13094.1"/>
        <n v="11100.599999999999"/>
        <n v="11349.6"/>
        <n v="11129.3"/>
        <n v="9550.099999999999"/>
        <n v="16620.0"/>
        <n v="10264.6"/>
        <n v="9087.0"/>
        <n v="15244.0"/>
        <n v="6824.65"/>
        <n v="10603.599999999999"/>
        <n v="10210.9"/>
        <n v="11967.15"/>
        <n v="9417.099999999999"/>
        <n v="13588.1"/>
        <n v="7525.0"/>
        <n v="15160.0"/>
        <n v="9625.699999999999"/>
        <n v="5083.4"/>
        <n v="10161.0"/>
        <n v="16140.0"/>
        <n v="7001.1"/>
        <n v="16684.2"/>
        <n v="12050.1"/>
        <n v="8140.0"/>
        <n v="8220.35"/>
        <n v="10376.800000000001"/>
        <n v="12086.0"/>
        <n v="7101.900000000001"/>
        <n v="10374.25"/>
        <n v="11589.6"/>
        <n v="10206.8"/>
        <n v="12167.75"/>
        <n v="8383.9"/>
        <n v="15038.0"/>
        <n v="10468.800000000001"/>
        <n v="10874.9"/>
        <n v="14234.4"/>
        <n v="13812.800000000001"/>
        <n v="9670.5"/>
        <n v="10777.9"/>
        <n v="14036.0"/>
        <n v="12561.6"/>
        <n v="13408.0"/>
        <n v="11719.800000000001"/>
        <n v="8632.800000000001"/>
        <n v="9811.199999999999"/>
        <n v="11442.0"/>
        <n v="5902.4"/>
        <n v="11791.0"/>
        <n v="14086.0"/>
        <n v="13371.35"/>
        <n v="7468.95"/>
        <n v="11507.4"/>
        <n v="10420.199999999999"/>
        <n v="13266.0"/>
        <n v="16722.0"/>
        <n v="11370.8"/>
        <n v="14213.6"/>
        <n v="11144.35"/>
        <n v="11442.400000000001"/>
        <n v="12865.0"/>
        <n v="13024.0"/>
        <n v="10812.0"/>
        <n v="14282.0"/>
        <n v="15855.05"/>
        <n v="6190.099999999999"/>
        <n v="11185.3"/>
        <n v="13862.65"/>
        <n v="11114.400000000001"/>
        <n v="12204.0"/>
        <n v="8416.8"/>
        <n v="7850.599999999999"/>
        <n v="11118.0"/>
        <n v="8612.800000000001"/>
        <n v="6399.900000000001"/>
        <n v="5986.4"/>
        <n v="14429.7"/>
        <n v="11052.9"/>
        <n v="9581.6"/>
        <n v="9898.699999999999"/>
        <n v="12933.0"/>
        <n v="6214.349999999999"/>
        <n v="12309.699999999999"/>
        <n v="10296.3"/>
        <n v="15432.0"/>
        <n v="6562.849999999999"/>
        <n v="6598.2"/>
        <n v="15073.0"/>
        <n v="7339.499999999999"/>
        <n v="15814.25"/>
        <n v="12988.0"/>
        <n v="13915.0"/>
        <n v="11866.400000000001"/>
        <n v="16408.0"/>
        <n v="11378.5"/>
        <n v="10555.2"/>
        <n v="9350.0"/>
        <n v="8213.8"/>
        <n v="9286.199999999999"/>
        <n v="8164.0"/>
        <n v="10320.300000000001"/>
        <n v="11120.9"/>
        <n v="6735.4"/>
        <n v="14729.65"/>
        <n v="11774.7"/>
        <n v="11768.25"/>
        <n v="13879.0"/>
        <n v="14633.6"/>
        <n v="11508.0"/>
        <n v="13141.099999999999"/>
        <n v="14491.65"/>
        <n v="10130.4"/>
        <n v="9731.2"/>
        <n v="8785.0"/>
        <n v="5942.400000000001"/>
        <n v="8782.199999999999"/>
        <n v="18973.0"/>
        <n v="12322.800000000001"/>
        <n v="5483.099999999999"/>
        <n v="6050.3"/>
        <n v="13262.0"/>
        <n v="12326.400000000001"/>
        <n v="16701.0"/>
        <n v="10464.800000000001"/>
        <n v="9324.0"/>
        <n v="6288.099999999999"/>
        <n v="7884.8"/>
        <n v="8937.0"/>
        <n v="11098.449999999999"/>
        <n v="5649.6"/>
        <n v="10528.1"/>
        <n v="9489.199999999999"/>
        <n v="5824.0"/>
        <n v="10262.7"/>
        <n v="16434.9"/>
        <n v="7383.95"/>
        <n v="14566.0"/>
        <n v="6221.599999999999"/>
        <n v="11390.400000000001"/>
        <n v="16024.0"/>
        <n v="7277.7"/>
        <n v="14511.6"/>
        <n v="10787.699999999999"/>
        <n v="12280.099999999999"/>
        <n v="12282.300000000001"/>
        <n v="11284.2"/>
        <n v="8687.85"/>
        <n v="13273.4"/>
        <n v="12071.2"/>
        <n v="10238.0"/>
        <n v="10546.9"/>
        <n v="15237.9"/>
        <n v="15258.0"/>
        <n v="9787.5"/>
        <n v="13591.0"/>
        <n v="7632.0"/>
        <n v="4993.799999999999"/>
        <n v="10628.4"/>
        <n v="14368.5"/>
        <n v="8183.8"/>
        <n v="14256.0"/>
        <n v="9876.0"/>
        <n v="9948.4"/>
        <n v="12188.0"/>
        <n v="14038.0"/>
        <n v="11986.699999999999"/>
        <n v="12076.8"/>
        <n v="12371.4"/>
        <n v="11346.300000000001"/>
        <n v="16207.0"/>
        <n v="12466.1"/>
        <n v="8388.0"/>
        <n v="10306.8"/>
        <n v="7381.0"/>
        <n v="14791.699999999999"/>
        <n v="15854.0"/>
        <n v="12096.0"/>
        <n v="13023.0"/>
        <n v="15926.0"/>
        <n v="11785.5"/>
        <n v="12594.400000000001"/>
        <n v="14382.0"/>
        <n v="9916.800000000001"/>
        <n v="16756.2"/>
        <n v="13814.0"/>
        <n v="5226.2"/>
        <n v="5748.8"/>
        <n v="12114.400000000001"/>
        <n v="18059.0"/>
        <n v="10011.4"/>
        <n v="14195.7"/>
        <n v="9622.0"/>
        <n v="9718.8"/>
        <n v="11594.0"/>
        <n v="13091.2"/>
        <n v="10997.0"/>
        <n v="9638.4"/>
        <n v="11815.0"/>
        <n v="15120.9"/>
        <n v="13974.85"/>
        <n v="7284.2"/>
        <n v="13574.0"/>
        <n v="8939.699999999999"/>
        <n v="10024.699999999999"/>
        <n v="12793.0"/>
        <n v="12586.0"/>
        <n v="8588.3"/>
        <n v="8914.8"/>
        <n v="11027.8"/>
        <n v="9757.800000000001"/>
        <n v="15635.75"/>
        <n v="5939.5"/>
        <n v="6870.6"/>
        <n v="13276.15"/>
        <n v="9331.2"/>
        <n v="8877.4"/>
        <n v="10210.0"/>
        <n v="15111.3"/>
        <n v="13371.2"/>
        <n v="9077.599999999999"/>
        <n v="13117.0"/>
        <n v="7436.099999999999"/>
        <n v="12965.0"/>
        <n v="10263.4"/>
        <n v="12323.2"/>
        <n v="4953.9"/>
        <n v="7409.7"/>
        <n v="8027.4"/>
        <n v="11482.2"/>
        <n v="6247.5"/>
        <n v="14603.0"/>
        <n v="11688.300000000001"/>
        <n v="12065.199999999999"/>
        <n v="6196.8"/>
        <n v="5743.200000000001"/>
        <n v="11857.3"/>
        <n v="10182.199999999999"/>
        <n v="16801.0"/>
        <n v="9252.9"/>
        <n v="5742.099999999999"/>
        <n v="17939.0"/>
        <n v="12994.099999999999"/>
        <n v="9564.099999999999"/>
        <n v="13777.0"/>
        <n v="10682.8"/>
        <n v="9112.5"/>
        <n v="12912.800000000001"/>
        <n v="12529.85"/>
        <n v="12254.199999999999"/>
        <n v="10280.800000000001"/>
        <n v="12080.7"/>
        <n v="15038.400000000001"/>
        <n v="11969.0"/>
        <n v="15755.4"/>
        <n v="8816.199999999999"/>
        <n v="9883.3"/>
        <n v="13257.0"/>
        <n v="9856.800000000001"/>
        <n v="13529.449999999999"/>
        <n v="13646.400000000001"/>
        <n v="12489.9"/>
        <n v="13502.25"/>
        <n v="7683.15"/>
        <n v="8218.0"/>
        <n v="10321.6"/>
        <n v="12967.5"/>
        <n v="13045.6"/>
        <n v="5044.9"/>
        <n v="9200.4"/>
        <n v="9129.4"/>
        <n v="6698.849999999999"/>
        <n v="17754.0"/>
        <n v="10485.3"/>
        <n v="11440.800000000001"/>
        <n v="12860.5"/>
        <n v="9469.599999999999"/>
        <n v="10747.4"/>
        <n v="13127.0"/>
        <n v="11665.0"/>
        <n v="15633.199999999999"/>
        <n v="14720.4"/>
        <n v="13566.85"/>
        <n v="12024.949999999999"/>
        <n v="12010.5"/>
        <n v="14262.400000000001"/>
        <n v="7912.0"/>
        <n v="11580.099999999999"/>
        <n v="12713.4"/>
        <n v="8344.699999999999"/>
        <n v="12298.0"/>
        <n v="15105.35"/>
        <n v="14560.2"/>
        <n v="13452.949999999999"/>
        <n v="15328.9"/>
        <n v="11410.0"/>
        <n v="13557.5"/>
        <n v="7067.2"/>
        <n v="11008.35"/>
        <n v="14242.5"/>
        <n v="9531.9"/>
        <n v="12432.1"/>
        <n v="6683.200000000001"/>
        <n v="12611.9"/>
        <n v="14674.0"/>
        <n v="12312.0"/>
        <n v="11964.0"/>
        <n v="10532.199999999999"/>
        <n v="9034.199999999999"/>
        <n v="13126.4"/>
        <n v="10933.55"/>
        <n v="8096.0"/>
        <n v="10417.4"/>
        <n v="10903.8"/>
        <n v="14228.800000000001"/>
        <n v="11085.6"/>
        <n v="10713.5"/>
        <n v="15631.2"/>
        <n v="15824.0"/>
        <n v="13645.0"/>
        <n v="8326.6"/>
        <n v="14117.65"/>
        <n v="12544.3"/>
        <n v="8144.499999999999"/>
        <n v="13066.2"/>
        <n v="13003.2"/>
        <n v="7100.1"/>
        <n v="11360.25"/>
        <n v="15048.4"/>
        <n v="14882.400000000001"/>
        <n v="9749.0"/>
        <n v="6832.8"/>
        <n v="11591.0"/>
        <n v="7549.0"/>
        <n v="12928.3"/>
        <n v="11695.15"/>
        <n v="12537.5"/>
        <n v="15070.400000000001"/>
        <n v="7905.6"/>
        <n v="12029.5"/>
        <n v="6246.099999999999"/>
        <n v="14831.2"/>
        <n v="17949.0"/>
        <n v="14730.400000000001"/>
        <n v="17628.0"/>
        <n v="17238.0"/>
        <n v="14283.9"/>
        <n v="11116.800000000001"/>
        <n v="8170.2"/>
        <n v="9259.0"/>
        <n v="17057.0"/>
        <n v="10389.6"/>
        <n v="16528.0"/>
        <n v="12309.300000000001"/>
        <n v="8647.2"/>
        <n v="8385.300000000001"/>
        <n v="9062.9"/>
        <n v="12107.2"/>
        <n v="15081.0"/>
        <n v="14418.0"/>
        <n v="16413.3"/>
        <n v="13891.5"/>
        <n v="8119.0"/>
        <n v="9399.0"/>
        <n v="10735.199999999999"/>
        <n v="11229.300000000001"/>
        <n v="6787.8"/>
        <n v="7181.65"/>
        <n v="16694.0"/>
        <n v="13807.0"/>
        <n v="12207.2"/>
        <n v="12824.0"/>
        <n v="11022.300000000001"/>
        <n v="7448.55"/>
        <n v="14950.0"/>
        <n v="5978.0"/>
        <n v="14811.25"/>
        <n v="12858.0"/>
        <n v="8799.0"/>
        <n v="11302.0"/>
        <n v="7406.05"/>
        <n v="10305.4"/>
        <n v="14649.0"/>
        <n v="6447.200000000001"/>
        <n v="10961.6"/>
        <n v="16210.0"/>
        <n v="10292.0"/>
        <n v="9853.0"/>
        <n v="10834.599999999999"/>
        <n v="9956.9"/>
        <n v="7663.200000000001"/>
        <n v="7612.0"/>
        <n v="5489.4"/>
        <n v="8935.5"/>
        <n v="9912.699999999999"/>
        <n v="8441.0"/>
        <n v="14201.6"/>
        <n v="14272.0"/>
        <n v="11760.0"/>
        <n v="9746.4"/>
        <n v="9808.2"/>
        <n v="9027.0"/>
        <n v="8383.5"/>
        <n v="12041.4"/>
        <n v="8410.5"/>
        <n v="14285.949999999999"/>
        <n v="8453.199999999999"/>
        <n v="8772.0"/>
        <n v="8171.200000000001"/>
        <n v="11178.35"/>
        <n v="16065.85"/>
        <n v="10508.0"/>
        <n v="11514.400000000001"/>
        <n v="6713.0"/>
        <n v="7352.5"/>
        <n v="15644.7"/>
        <n v="10304.0"/>
        <n v="6318.2"/>
        <n v="17318.0"/>
        <n v="15210.0"/>
        <n v="14924.0"/>
        <n v="12376.699999999999"/>
        <n v="9800.800000000001"/>
        <n v="9855.2"/>
        <n v="7566.3"/>
        <n v="11312.1"/>
        <n v="12561.0"/>
        <n v="9588.0"/>
        <n v="9497.6"/>
        <n v="6815.7"/>
        <n v="11209.8"/>
        <n v="13010.9"/>
        <n v="12281.4"/>
        <n v="11987.0"/>
        <n v="11546.4"/>
        <n v="12064.5"/>
        <n v="11197.05"/>
        <n v="7821.7"/>
        <n v="15192.0"/>
        <n v="11991.2"/>
        <n v="8543.7"/>
        <n v="10405.800000000001"/>
        <n v="12649.699999999999"/>
        <n v="12730.5"/>
        <n v="12127.5"/>
        <n v="12750.300000000001"/>
        <n v="10809.0"/>
        <n v="10054.400000000001"/>
        <n v="14685.0"/>
        <n v="9344.7"/>
        <n v="17265.0"/>
        <n v="14040.0"/>
        <n v="8091.200000000001"/>
        <n v="13143.6"/>
        <n v="5940.0"/>
        <n v="7331.400000000001"/>
        <n v="9891.9"/>
        <n v="11410.4"/>
        <n v="10139.5"/>
        <n v="14360.4"/>
        <n v="13841.0"/>
        <n v="11827.9"/>
        <n v="11775.9"/>
        <n v="11211.199999999999"/>
        <n v="18899.0"/>
        <n v="11433.6"/>
        <n v="11271.6"/>
        <n v="15696.0"/>
        <n v="12165.6"/>
        <n v="9798.0"/>
        <n v="11694.400000000001"/>
        <n v="10783.949999999999"/>
        <n v="13443.6"/>
        <n v="11869.4"/>
        <n v="10574.199999999999"/>
        <n v="13994.4"/>
        <n v="11866.5"/>
        <n v="6772.8"/>
        <n v="12508.3"/>
        <n v="9254.0"/>
        <n v="11606.4"/>
        <n v="13116.0"/>
        <n v="13921.6"/>
        <n v="18858.0"/>
        <n v="17999.0"/>
        <n v="15164.0"/>
        <n v="9674.0"/>
        <n v="13161.4"/>
        <n v="15584.4"/>
        <n v="11494.0"/>
        <n v="12686.400000000001"/>
        <n v="15197.0"/>
        <n v="10572.3"/>
        <n v="6338.400000000001"/>
        <n v="11762.1"/>
        <n v="8316.0"/>
        <n v="8688.0"/>
        <n v="9472.800000000001"/>
        <n v="14374.800000000001"/>
        <n v="7015.0"/>
        <n v="6277.6"/>
        <n v="8928.0"/>
        <n v="8929.9"/>
        <n v="12801.0"/>
        <n v="16272.9"/>
        <n v="7249.0"/>
        <n v="7401.6"/>
        <n v="12986.3"/>
        <n v="12784.800000000001"/>
        <n v="11026.400000000001"/>
        <n v="15356.0"/>
        <n v="16880.4"/>
        <n v="6465.95"/>
        <n v="10652.599999999999"/>
        <n v="7639.8"/>
        <n v="11502.199999999999"/>
        <n v="11675.7"/>
        <n v="11391.099999999999"/>
        <n v="15990.0"/>
        <n v="15879.6"/>
        <n v="7386.4"/>
        <n v="13075.0"/>
        <n v="13885.2"/>
        <n v="9185.4"/>
        <n v="5700.0"/>
        <n v="6480.599999999999"/>
        <n v="14550.300000000001"/>
        <n v="11020.0"/>
        <n v="12586.400000000001"/>
        <n v="10707.9"/>
        <n v="11816.0"/>
        <n v="6366.5"/>
        <n v="15275.7"/>
        <n v="12538.4"/>
        <n v="9593.5"/>
        <n v="13062.0"/>
        <n v="12273.6"/>
        <n v="14214.0"/>
        <n v="11018.699999999999"/>
        <n v="13214.599999999999"/>
        <n v="11705.4"/>
        <n v="12936.15"/>
        <n v="10553.0"/>
        <n v="13403.0"/>
        <n v="12771.0"/>
        <n v="11019.0"/>
        <n v="12794.4"/>
        <n v="7713.0"/>
        <n v="14202.0"/>
        <n v="9822.4"/>
        <n v="11354.699999999999"/>
        <n v="16403.0"/>
        <n v="9534.4"/>
        <n v="12297.6"/>
        <n v="15688.800000000001"/>
        <n v="13707.0"/>
        <n v="14256.9"/>
        <n v="12367.5"/>
        <n v="8737.4"/>
        <n v="7130.2"/>
        <n v="14090.4"/>
        <n v="6346.8"/>
        <n v="6576.3"/>
        <n v="11610.9"/>
        <n v="13280.0"/>
        <n v="11720.0"/>
        <n v="12836.599999999999"/>
        <n v="9825.0"/>
        <n v="12577.5"/>
        <n v="12993.1"/>
        <n v="8426.4"/>
        <n v="8581.3"/>
        <n v="11170.699999999999"/>
        <n v="13770.0"/>
        <n v="14070.0"/>
        <n v="8390.199999999999"/>
        <n v="10120.800000000001"/>
        <n v="7464.6"/>
        <n v="10324.1"/>
        <n v="11259.949999999999"/>
        <n v="8275.2"/>
        <n v="9932.0"/>
        <n v="10079.3"/>
        <n v="12575.0"/>
        <n v="11883.0"/>
        <n v="15975.75"/>
        <n v="7551.0"/>
        <n v="11881.3"/>
        <n v="10698.1"/>
        <n v="8097.6"/>
        <n v="14186.5"/>
        <n v="15227.75"/>
        <n v="9668.4"/>
        <n v="9525.599999999999"/>
        <n v="17337.0"/>
        <n v="13892.4"/>
        <n v="9221.099999999999"/>
        <n v="16469.0"/>
        <n v="10073.6"/>
        <n v="18794.0"/>
        <n v="12632.199999999999"/>
        <n v="6934.2"/>
        <n v="10270.400000000001"/>
        <n v="11290.5"/>
        <n v="12925.5"/>
        <n v="12099.6"/>
        <n v="14819.4"/>
        <n v="12087.0"/>
        <n v="8494.4"/>
        <n v="17172.0"/>
        <n v="11060.0"/>
        <n v="11305.800000000001"/>
        <n v="14540.1"/>
        <n v="15393.6"/>
        <n v="11796.0"/>
        <n v="15598.0"/>
        <n v="11122.2"/>
        <n v="10684.0"/>
        <n v="6141.099999999999"/>
        <n v="12707.5"/>
        <n v="13430.85"/>
        <n v="18134.0"/>
        <n v="10320.0"/>
        <n v="12441.8"/>
        <n v="11343.25"/>
        <n v="10525.199999999999"/>
        <n v="9468.199999999999"/>
        <n v="12825.9"/>
        <n v="17378.0"/>
        <n v="7986.299999999999"/>
        <n v="12266.8"/>
        <n v="10513.3"/>
        <n v="6848.099999999999"/>
        <n v="8333.1"/>
        <n v="8962.8"/>
        <n v="13157.15"/>
        <n v="6481.299999999999"/>
        <n v="6885.6"/>
        <n v="15381.0"/>
        <n v="11841.6"/>
        <n v="9252.25"/>
        <n v="10118.0"/>
        <n v="13469.1"/>
        <n v="5014.099999999999"/>
        <n v="14644.65"/>
        <n v="9611.1"/>
        <n v="10042.9"/>
        <n v="10142.400000000001"/>
        <n v="10950.8"/>
        <n v="10725.4"/>
        <n v="7660.0"/>
        <n v="9818.35"/>
        <n v="11822.400000000001"/>
        <n v="10754.8"/>
        <n v="6158.400000000001"/>
        <n v="11645.85"/>
        <n v="12224.800000000001"/>
        <n v="13192.0"/>
        <n v="11006.65"/>
        <n v="10653.05"/>
        <n v="9524.7"/>
        <n v="11400.199999999999"/>
        <n v="13736.0"/>
        <n v="16240.5"/>
        <n v="10371.9"/>
        <n v="8426.6"/>
        <n v="13301.6"/>
        <n v="9272.0"/>
        <n v="14008.5"/>
        <n v="8848.0"/>
        <n v="10818.9"/>
        <n v="5535.599999999999"/>
        <n v="6393.799999999999"/>
        <n v="8834.4"/>
        <n v="14527.35"/>
        <n v="10781.1"/>
        <n v="7361.0"/>
        <n v="12727.9"/>
        <n v="15155.2"/>
        <n v="12665.7"/>
        <n v="13242.599999999999"/>
        <n v="17306.0"/>
        <n v="15871.199999999999"/>
        <n v="11676.0"/>
        <n v="15474.6"/>
        <n v="9631.3"/>
        <n v="9063.55"/>
        <n v="9568.800000000001"/>
        <n v="9966.400000000001"/>
        <n v="13062.6"/>
        <n v="13291.0"/>
        <n v="16147.0"/>
        <n v="11015.15"/>
        <n v="9899.1"/>
        <n v="14208.800000000001"/>
        <n v="13401.1"/>
        <n v="7753.0"/>
        <n v="13476.800000000001"/>
        <n v="11434.400000000001"/>
        <n v="7749.45"/>
        <n v="8938.6"/>
        <n v="11655.9"/>
        <n v="12098.099999999999"/>
        <n v="10891.9"/>
        <n v="11693.449999999999"/>
        <n v="8173.0"/>
        <n v="11547.25"/>
        <n v="9053.8"/>
        <n v="16111.0"/>
        <n v="9448.2"/>
        <n v="12261.6"/>
        <n v="10998.0"/>
        <n v="11372.4"/>
        <n v="16163.0"/>
        <n v="8722.699999999999"/>
        <n v="16125.35"/>
        <n v="9004.05"/>
        <n v="14337.0"/>
        <n v="6338.7"/>
        <n v="11871.9"/>
        <n v="7187.599999999999"/>
        <n v="11633.1"/>
        <n v="12596.0"/>
        <n v="8611.35"/>
        <n v="12024.599999999999"/>
        <n v="12452.0"/>
        <n v="6860.7"/>
        <n v="14929.0"/>
        <n v="9022.3"/>
        <n v="9216.9"/>
        <n v="9598.199999999999"/>
        <n v="15192.800000000001"/>
        <n v="11598.300000000001"/>
        <n v="7583.799999999999"/>
        <n v="8750.0"/>
        <n v="10702.800000000001"/>
        <n v="15654.6"/>
        <n v="11854.1"/>
        <n v="10517.9"/>
        <n v="10735.5"/>
        <n v="7160.299999999999"/>
        <n v="9973.6"/>
        <n v="6975.95"/>
        <n v="13999.0"/>
        <n v="8988.0"/>
        <n v="17072.0"/>
        <n v="16157.7"/>
        <n v="7681.45"/>
        <n v="13906.800000000001"/>
        <n v="11544.300000000001"/>
        <n v="14694.0"/>
        <n v="15732.9"/>
        <n v="5073.599999999999"/>
        <n v="13674.8"/>
        <n v="13857.300000000001"/>
        <n v="7752.0"/>
        <n v="6552.7"/>
        <n v="9252.0"/>
        <n v="10376.099999999999"/>
        <n v="11734.099999999999"/>
        <n v="8428.0"/>
        <n v="12996.0"/>
        <n v="10853.5"/>
        <n v="14736.449999999999"/>
        <n v="5659.5"/>
        <n v="13336.0"/>
        <n v="12708.0"/>
        <n v="10330.05"/>
        <n v="12335.4"/>
        <n v="8554.699999999999"/>
        <n v="9523.2"/>
        <n v="8160.3"/>
        <n v="7338.0"/>
        <n v="9055.0"/>
        <n v="12998.0"/>
        <n v="14181.0"/>
        <n v="9613.8"/>
        <n v="12706.4"/>
        <n v="5746.400000000001"/>
        <n v="12626.1"/>
        <n v="16464.600000000002"/>
        <n v="11362.400000000001"/>
        <n v="14391.2"/>
        <n v="12741.300000000001"/>
        <n v="14499.9"/>
        <n v="10300.5"/>
        <n v="14075.15"/>
        <n v="6210.400000000001"/>
        <n v="9273.599999999999"/>
        <n v="8708.699999999999"/>
        <n v="18599.0"/>
        <n v="18674.0"/>
        <n v="8459.2"/>
        <n v="12348.0"/>
        <n v="11421.6"/>
        <n v="12597.85"/>
        <n v="9987.2"/>
        <n v="13242.0"/>
        <n v="12430.400000000001"/>
        <n v="13553.25"/>
        <n v="15194.0"/>
        <n v="11405.7"/>
        <n v="11282.400000000001"/>
        <n v="8508.0"/>
        <n v="10464.3"/>
        <n v="12483.9"/>
        <n v="7298.099999999999"/>
        <n v="10235.4"/>
        <n v="8559.9"/>
        <n v="8465.15"/>
        <n v="11561.4"/>
        <n v="9861.6"/>
        <n v="10217.9"/>
        <n v="8712.0"/>
        <n v="12454.400000000001"/>
        <n v="8582.699999999999"/>
        <n v="14944.0"/>
        <n v="18503.0"/>
        <n v="9701.0"/>
        <n v="11051.699999999999"/>
        <n v="7857.499999999999"/>
        <n v="9255.4"/>
        <n v="10326.4"/>
        <n v="11227.5"/>
        <n v="18106.0"/>
        <n v="12491.5"/>
        <n v="10114.2"/>
        <n v="10133.9"/>
        <n v="12286.4"/>
        <n v="9038.0"/>
        <n v="9905.4"/>
        <n v="13698.0"/>
        <n v="9678.199999999999"/>
        <n v="14693.4"/>
        <n v="15770.7"/>
        <n v="18752.0"/>
        <n v="10953.1"/>
        <n v="6992.099999999999"/>
        <n v="9350.599999999999"/>
        <n v="11350.400000000001"/>
        <n v="9721.599999999999"/>
        <n v="8522.0"/>
        <n v="16393.5"/>
        <n v="9100.1"/>
        <n v="7123.2"/>
        <n v="11556.0"/>
        <n v="12591.9"/>
        <n v="7096.599999999999"/>
        <n v="12656.800000000001"/>
        <n v="12892.800000000001"/>
        <n v="9935.2"/>
        <n v="12805.099999999999"/>
        <n v="7713.900000000001"/>
        <n v="13578.0"/>
        <n v="15566.9"/>
        <n v="10329.0"/>
        <n v="6449.8"/>
        <n v="5847.099999999999"/>
        <n v="13960.0"/>
        <n v="15372.0"/>
        <n v="8603.0"/>
        <n v="7395.200000000001"/>
        <n v="16765.0"/>
        <n v="9621.15"/>
        <n v="10367.0"/>
        <n v="13033.9"/>
        <n v="13725.9"/>
        <n v="11776.75"/>
        <n v="7415.099999999999"/>
        <n v="13060.25"/>
        <n v="7235.2"/>
        <n v="15963.0"/>
        <n v="16562.0"/>
        <n v="13275.0"/>
        <n v="6011.200000000001"/>
        <n v="10810.0"/>
        <n v="6764.0"/>
        <n v="11023.65"/>
        <n v="11885.3"/>
        <n v="9909.199999999999"/>
        <n v="13533.300000000001"/>
        <n v="15471.9"/>
        <n v="6106.799999999999"/>
        <n v="9848.3"/>
        <n v="13894.400000000001"/>
        <n v="16174.0"/>
        <n v="10165.4"/>
        <n v="10807.75"/>
        <n v="11551.2"/>
        <n v="7041.6"/>
        <n v="16284.6"/>
        <n v="8547.6"/>
        <n v="9172.0"/>
        <n v="9298.15"/>
        <n v="12960.5"/>
        <n v="13602.0"/>
        <n v="11324.0"/>
        <n v="12379.5"/>
        <n v="9807.0"/>
        <n v="12832.449999999999"/>
        <n v="12510.0"/>
        <n v="10654.400000000001"/>
        <n v="12334.5"/>
        <n v="6443.200000000001"/>
        <n v="8572.199999999999"/>
        <n v="9499.0"/>
        <n v="10959.9"/>
        <n v="12994.8"/>
        <n v="8706.6"/>
        <n v="8350.0"/>
        <n v="9411.300000000001"/>
        <n v="7924.55"/>
        <n v="17034.3"/>
        <n v="14122.400000000001"/>
        <n v="9850.0"/>
        <n v="13434.400000000001"/>
        <n v="14003.0"/>
        <n v="17063.100000000002"/>
        <n v="12387.2"/>
        <n v="8529.75"/>
        <n v="13210.2"/>
        <n v="11280.6"/>
        <n v="13344.15"/>
        <n v="12982.05"/>
        <n v="13778.0"/>
        <n v="10743.2"/>
        <n v="12496.4"/>
        <n v="9697.65"/>
        <n v="9623.2"/>
        <n v="14268.0"/>
        <n v="12783.2"/>
        <n v="13402.800000000001"/>
        <n v="13827.2"/>
        <n v="11262.400000000001"/>
        <n v="9168.800000000001"/>
        <n v="9701.1"/>
        <n v="13913.65"/>
        <n v="6131.9"/>
        <n v="9832.0"/>
        <n v="12440.4"/>
        <n v="18021.0"/>
        <n v="11685.6"/>
        <n v="8810.199999999999"/>
        <n v="8279.6"/>
        <n v="15488.0"/>
        <n v="13295.699999999999"/>
        <n v="10402.400000000001"/>
        <n v="7002.400000000001"/>
        <n v="13211.1"/>
        <n v="7431.55"/>
        <n v="10489.0"/>
        <n v="6568.8"/>
        <n v="9880.0"/>
        <n v="15580.0"/>
        <n v="15834.6"/>
        <n v="4993.099999999999"/>
        <n v="10224.9"/>
        <n v="16497.0"/>
        <n v="16098.300000000001"/>
        <n v="11889.0"/>
        <n v="8710.8"/>
        <n v="16414.0"/>
        <n v="12561.3"/>
        <n v="15771.0"/>
        <n v="8171.799999999999"/>
        <n v="9809.1"/>
        <n v="11536.2"/>
        <n v="13375.0"/>
        <n v="15175.9"/>
        <n v="7475.299999999999"/>
        <n v="12736.800000000001"/>
        <n v="8427.75"/>
        <n v="7817.599999999999"/>
        <n v="15572.7"/>
        <n v="11996.0"/>
        <n v="15882.0"/>
        <n v="9349.199999999999"/>
        <n v="11148.300000000001"/>
        <n v="11034.9"/>
        <n v="11102.4"/>
        <n v="9640.699999999999"/>
        <n v="9805.599999999999"/>
        <n v="12605.0"/>
        <n v="13261.0"/>
        <n v="12702.0"/>
        <n v="8858.699999999999"/>
        <n v="11135.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12" cacheId="0" dataCaption="" compact="0" compactData="0">
  <location ref="A1:C5" firstHeaderRow="0" firstDataRow="2" firstDataCol="0"/>
  <pivotFields>
    <pivotField name="Studen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tud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CourseID" compact="0" outline="0" multipleItemSelectionAllowed="1" showAll="0">
      <items>
        <item x="0"/>
        <item x="1"/>
        <item x="2"/>
        <item x="3"/>
        <item t="default"/>
      </items>
    </pivotField>
    <pivotField name="CourseName" compact="0" outline="0" multipleItemSelectionAllowed="1" showAll="0">
      <items>
        <item x="0"/>
        <item x="1"/>
        <item x="2"/>
        <item x="3"/>
        <item t="default"/>
      </items>
    </pivotField>
    <pivotField name="BatchID" compact="0" outline="0" multipleItemSelectionAllowed="1" showAll="0">
      <items>
        <item x="0"/>
        <item x="1"/>
        <item x="2"/>
        <item t="default"/>
      </items>
    </pivotField>
    <pivotField name="MentorName" compact="0" outline="0" multipleItemSelectionAllowed="1" showAll="0">
      <items>
        <item x="0"/>
        <item x="1"/>
        <item x="2"/>
        <item t="default"/>
      </items>
    </pivotField>
    <pivotField name="Platform" axis="axisRow" compact="0" outline="0" multipleItemSelectionAllowed="1" showAll="0" sortType="ascending">
      <items>
        <item x="2"/>
        <item x="1"/>
        <item x="0"/>
        <item t="default"/>
      </items>
    </pivotField>
    <pivotField name="Payment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DiscountCode" compact="0" outline="0" multipleItemSelectionAllowed="1" showAll="0">
      <items>
        <item x="0"/>
        <item x="1"/>
        <item x="2"/>
        <item x="3"/>
        <item x="4"/>
        <item t="default"/>
      </items>
    </pivotField>
    <pivotField name="DiscountPercent" compact="0" outline="0" multipleItemSelectionAllowed="1" showAll="0">
      <items>
        <item x="0"/>
        <item x="1"/>
        <item x="2"/>
        <item x="3"/>
        <item t="default"/>
      </items>
    </pivotField>
    <pivotField name="TargetRevenue" compact="0" outline="0" multipleItemSelectionAllowed="1" showAll="0">
      <items>
        <item x="0"/>
        <item x="1"/>
        <item x="2"/>
        <item x="3"/>
        <item t="default"/>
      </items>
    </pivotField>
    <pivotField name="Paymen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Target Revenue" compact="0" outline="0" multipleItemSelectionAllowed="1" showAll="0">
      <items>
        <item x="0"/>
        <item x="1"/>
        <item t="default"/>
      </items>
    </pivotField>
    <pivotField name="Percentag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t="default"/>
      </items>
    </pivotField>
    <pivotField name="New Discount Percent " compact="0" numFmtId="10" outline="0" multipleItemSelectionAllowed="1" showAll="0">
      <items>
        <item x="0"/>
        <item x="1"/>
        <item x="2"/>
        <item x="3"/>
        <item x="4"/>
        <item t="default"/>
      </items>
    </pivotField>
    <pivotField name="Net Revenu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t="default"/>
      </items>
    </pivotField>
  </pivotFields>
  <rowFields>
    <field x="6"/>
  </rowFields>
  <colFields>
    <field x="-2"/>
  </colFields>
  <dataFields>
    <dataField name="SUM of PaymentAmount" fld="7" baseField="0"/>
    <dataField name="SUM of Net Revenue" fld="15" baseField="0"/>
  </dataFields>
</pivotTableDefinition>
</file>

<file path=xl/pivotTables/pivotTable2.xml><?xml version="1.0" encoding="utf-8"?>
<pivotTableDefinition xmlns="http://schemas.openxmlformats.org/spreadsheetml/2006/main" name="Q13" cacheId="0" dataCaption="" compact="0" compactData="0">
  <location ref="A1:B6" firstHeaderRow="0" firstDataRow="1" firstDataCol="0"/>
  <pivotFields>
    <pivotField name="Studen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tud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CourseID" compact="0" outline="0" multipleItemSelectionAllowed="1" showAll="0">
      <items>
        <item x="0"/>
        <item x="1"/>
        <item x="2"/>
        <item x="3"/>
        <item t="default"/>
      </items>
    </pivotField>
    <pivotField name="CourseName" axis="axisRow" compact="0" outline="0" multipleItemSelectionAllowed="1" showAll="0" sortType="ascending">
      <items>
        <item x="0"/>
        <item x="2"/>
        <item x="1"/>
        <item x="3"/>
        <item t="default"/>
      </items>
    </pivotField>
    <pivotField name="BatchID" compact="0" outline="0" multipleItemSelectionAllowed="1" showAll="0">
      <items>
        <item x="0"/>
        <item x="1"/>
        <item x="2"/>
        <item t="default"/>
      </items>
    </pivotField>
    <pivotField name="MentorName" compact="0" outline="0" multipleItemSelectionAllowed="1" showAll="0">
      <items>
        <item x="0"/>
        <item x="1"/>
        <item x="2"/>
        <item t="default"/>
      </items>
    </pivotField>
    <pivotField name="Platform" compact="0" outline="0" multipleItemSelectionAllowed="1" showAll="0">
      <items>
        <item x="0"/>
        <item x="1"/>
        <item x="2"/>
        <item t="default"/>
      </items>
    </pivotField>
    <pivotField name="Payment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DiscountCode" compact="0" outline="0" multipleItemSelectionAllowed="1" showAll="0">
      <items>
        <item x="0"/>
        <item x="1"/>
        <item x="2"/>
        <item x="3"/>
        <item x="4"/>
        <item t="default"/>
      </items>
    </pivotField>
    <pivotField name="DiscountPercent" compact="0" outline="0" multipleItemSelectionAllowed="1" showAll="0">
      <items>
        <item x="0"/>
        <item x="1"/>
        <item x="2"/>
        <item x="3"/>
        <item t="default"/>
      </items>
    </pivotField>
    <pivotField name="TargetRevenue" compact="0" outline="0" multipleItemSelectionAllowed="1" showAll="0">
      <items>
        <item x="0"/>
        <item x="1"/>
        <item x="2"/>
        <item x="3"/>
        <item t="default"/>
      </items>
    </pivotField>
    <pivotField name="Paymen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Target Revenue" compact="0" outline="0" multipleItemSelectionAllowed="1" showAll="0">
      <items>
        <item x="0"/>
        <item x="1"/>
        <item t="default"/>
      </items>
    </pivotField>
    <pivotField name="Percentag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t="default"/>
      </items>
    </pivotField>
    <pivotField name="New Discount Percent " compact="0" numFmtId="10" outline="0" multipleItemSelectionAllowed="1" showAll="0">
      <items>
        <item x="0"/>
        <item x="1"/>
        <item x="2"/>
        <item x="3"/>
        <item x="4"/>
        <item t="default"/>
      </items>
    </pivotField>
    <pivotField name="Net Revenu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t="default"/>
      </items>
    </pivotField>
  </pivotFields>
  <rowFields>
    <field x="3"/>
  </rowFields>
  <dataFields>
    <dataField name="SUM of PaymentAmount" fld="7" baseField="0"/>
  </dataFields>
</pivotTableDefinition>
</file>

<file path=xl/pivotTables/pivotTable3.xml><?xml version="1.0" encoding="utf-8"?>
<pivotTableDefinition xmlns="http://schemas.openxmlformats.org/spreadsheetml/2006/main" name="Q14" cacheId="0" dataCaption="" compact="0" compactData="0">
  <location ref="A1:E7" firstHeaderRow="0" firstDataRow="1" firstDataCol="1"/>
  <pivotFields>
    <pivotField name="Studen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tud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CourseID" compact="0" outline="0" multipleItemSelectionAllowed="1" showAll="0">
      <items>
        <item x="0"/>
        <item x="1"/>
        <item x="2"/>
        <item x="3"/>
        <item t="default"/>
      </items>
    </pivotField>
    <pivotField name="CourseName" axis="axisRow" compact="0" outline="0" multipleItemSelectionAllowed="1" showAll="0" sortType="ascending">
      <items>
        <item x="0"/>
        <item x="2"/>
        <item x="1"/>
        <item x="3"/>
        <item t="default"/>
      </items>
    </pivotField>
    <pivotField name="BatchID" compact="0" outline="0" multipleItemSelectionAllowed="1" showAll="0">
      <items>
        <item x="0"/>
        <item x="1"/>
        <item x="2"/>
        <item t="default"/>
      </items>
    </pivotField>
    <pivotField name="MentorName" compact="0" outline="0" multipleItemSelectionAllowed="1" showAll="0">
      <items>
        <item x="0"/>
        <item x="1"/>
        <item x="2"/>
        <item t="default"/>
      </items>
    </pivotField>
    <pivotField name="Platform" axis="axisCol" compact="0" outline="0" multipleItemSelectionAllowed="1" showAll="0" sortType="ascending">
      <items>
        <item x="2"/>
        <item x="1"/>
        <item x="0"/>
        <item t="default"/>
      </items>
    </pivotField>
    <pivotField name="Payment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DiscountCode" compact="0" outline="0" multipleItemSelectionAllowed="1" showAll="0">
      <items>
        <item x="0"/>
        <item x="1"/>
        <item x="2"/>
        <item x="3"/>
        <item x="4"/>
        <item t="default"/>
      </items>
    </pivotField>
    <pivotField name="DiscountPercent" compact="0" outline="0" multipleItemSelectionAllowed="1" showAll="0">
      <items>
        <item x="0"/>
        <item x="1"/>
        <item x="2"/>
        <item x="3"/>
        <item t="default"/>
      </items>
    </pivotField>
    <pivotField name="TargetRevenue" compact="0" outline="0" multipleItemSelectionAllowed="1" showAll="0">
      <items>
        <item x="0"/>
        <item x="1"/>
        <item x="2"/>
        <item x="3"/>
        <item t="default"/>
      </items>
    </pivotField>
    <pivotField name="Paymen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Target Revenue" compact="0" outline="0" multipleItemSelectionAllowed="1" showAll="0">
      <items>
        <item x="0"/>
        <item x="1"/>
        <item t="default"/>
      </items>
    </pivotField>
    <pivotField name="Percentag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t="default"/>
      </items>
    </pivotField>
    <pivotField name="New Discount Percent " compact="0" numFmtId="10" outline="0" multipleItemSelectionAllowed="1" showAll="0">
      <items>
        <item x="0"/>
        <item x="1"/>
        <item x="2"/>
        <item x="3"/>
        <item x="4"/>
        <item t="default"/>
      </items>
    </pivotField>
    <pivotField name="Net Revenu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t="default"/>
      </items>
    </pivotField>
  </pivotFields>
  <rowFields>
    <field x="3"/>
  </rowFields>
  <colFields>
    <field x="6"/>
  </colFields>
  <dataFields>
    <dataField name="SUM of PaymentAmount"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entorName">
  <x14:extLst>
    <ext uri="{2F2917AC-EB37-4324-AD4E-5DD8C200BD13}">
      <x15:tableSlicerCache tableId="1" column="6"/>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Platform">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entorName_1" cache="SlicerCache_Table_1_Col_6" caption="MentorName" rowHeight="247650"/>
  <x14:slicer name="Platform_2" cache="SlicerCache_Table_1_Col_7" caption="Platform" rowHeight="247650"/>
</x14:slicers>
</file>

<file path=xl/tables/table1.xml><?xml version="1.0" encoding="utf-8"?>
<table xmlns="http://schemas.openxmlformats.org/spreadsheetml/2006/main" ref="A2:P1002" displayName="Table_1" name="Table_1" id="1">
  <autoFilter ref="$A$2:$P$1002"/>
  <tableColumns count="16">
    <tableColumn name="StudentID" id="1"/>
    <tableColumn name="StudentName" id="2"/>
    <tableColumn name="CourseID" id="3"/>
    <tableColumn name="CourseName" id="4"/>
    <tableColumn name="BatchID" id="5"/>
    <tableColumn name="MentorName" id="6"/>
    <tableColumn name="Platform" id="7"/>
    <tableColumn name="PaymentAmount" id="8"/>
    <tableColumn name="DiscountCode" id="9"/>
    <tableColumn name="DiscountPercent" id="10"/>
    <tableColumn name="TargetRevenue" id="11"/>
    <tableColumn name="PaymentDate" id="12"/>
    <tableColumn name="Target Revenue" id="13"/>
    <tableColumn name="Percentage" id="14"/>
    <tableColumn name="New Discount Percent " id="15"/>
    <tableColumn name="Net Revenue" id="1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14.5"/>
    <col customWidth="1" min="3" max="3" width="8.0"/>
    <col customWidth="1" min="4" max="4" width="13.38"/>
    <col customWidth="1" min="5" max="5" width="8.13"/>
    <col customWidth="1" min="6" max="6" width="11.88"/>
    <col customWidth="1" min="7" max="7" width="8.38"/>
    <col customWidth="1" min="8" max="8" width="15.13"/>
    <col customWidth="1" min="9" max="9" width="12.88"/>
    <col customWidth="1" min="10" max="10" width="14.88"/>
    <col customWidth="1" min="11" max="11" width="13.88"/>
    <col customWidth="1" min="12" max="12" width="12.63"/>
    <col customWidth="1" min="13" max="13" width="14.75"/>
    <col customWidth="1" min="14" max="14" width="11.25"/>
    <col customWidth="1" min="15" max="15" width="22.38"/>
    <col customWidth="1" min="16" max="16" width="12.5"/>
    <col customWidth="1" min="17" max="17" width="12.38"/>
    <col customWidth="1" min="18" max="18" width="14.38"/>
    <col customWidth="1" min="19" max="19" width="28.75"/>
    <col customWidth="1" min="20" max="20" width="16.25"/>
    <col customWidth="1" min="21" max="32" width="8.0"/>
  </cols>
  <sheetData>
    <row r="1" ht="12.75" customHeight="1">
      <c r="A1" s="6"/>
      <c r="B1" s="6"/>
      <c r="C1" s="6"/>
      <c r="D1" s="6"/>
      <c r="E1" s="6"/>
      <c r="F1" s="6"/>
      <c r="G1" s="6"/>
      <c r="H1" s="6"/>
      <c r="I1" s="6"/>
      <c r="J1" s="6"/>
      <c r="K1" s="6"/>
      <c r="L1" s="6"/>
      <c r="M1" s="7" t="s">
        <v>25</v>
      </c>
      <c r="O1" s="7" t="s">
        <v>26</v>
      </c>
      <c r="P1" s="8" t="s">
        <v>27</v>
      </c>
    </row>
    <row r="2" ht="12.75" customHeight="1">
      <c r="A2" s="6" t="s">
        <v>1</v>
      </c>
      <c r="B2" s="6" t="s">
        <v>3</v>
      </c>
      <c r="C2" s="6" t="s">
        <v>4</v>
      </c>
      <c r="D2" s="6" t="s">
        <v>5</v>
      </c>
      <c r="E2" s="6" t="s">
        <v>6</v>
      </c>
      <c r="F2" s="6" t="s">
        <v>7</v>
      </c>
      <c r="G2" s="6" t="s">
        <v>8</v>
      </c>
      <c r="H2" s="6" t="s">
        <v>9</v>
      </c>
      <c r="I2" s="6" t="s">
        <v>10</v>
      </c>
      <c r="J2" s="6" t="s">
        <v>28</v>
      </c>
      <c r="K2" s="6" t="s">
        <v>29</v>
      </c>
      <c r="L2" s="6" t="s">
        <v>30</v>
      </c>
      <c r="M2" s="9" t="s">
        <v>31</v>
      </c>
      <c r="N2" s="9" t="s">
        <v>32</v>
      </c>
      <c r="O2" s="9" t="s">
        <v>33</v>
      </c>
      <c r="P2" s="9" t="s">
        <v>34</v>
      </c>
    </row>
    <row r="3" ht="12.75" customHeight="1">
      <c r="A3" s="3" t="s">
        <v>15</v>
      </c>
      <c r="B3" s="3" t="s">
        <v>17</v>
      </c>
      <c r="C3" s="3" t="s">
        <v>18</v>
      </c>
      <c r="D3" s="3" t="s">
        <v>16</v>
      </c>
      <c r="E3" s="3" t="s">
        <v>20</v>
      </c>
      <c r="F3" s="3" t="s">
        <v>21</v>
      </c>
      <c r="G3" s="3" t="s">
        <v>13</v>
      </c>
      <c r="H3" s="3">
        <v>12914.0</v>
      </c>
      <c r="I3" s="3" t="s">
        <v>23</v>
      </c>
      <c r="J3" s="3">
        <v>0.2</v>
      </c>
      <c r="K3" s="3">
        <v>14000.0</v>
      </c>
      <c r="L3" s="3" t="s">
        <v>38</v>
      </c>
      <c r="M3" s="3" t="str">
        <f t="shared" ref="M3:M1002" si="1">if(H3:H1002&gt;K3:K1002,"Target Achieved","Below Target")</f>
        <v>Below Target</v>
      </c>
      <c r="N3" s="10">
        <f t="shared" ref="N3:N1002" si="2">COUNTIF(M3:M1002,"Target Achieved")/COUNTA(M3:M1002)</f>
        <v>0.516</v>
      </c>
      <c r="O3" s="11">
        <f t="shared" ref="O3:O1002" si="3">IF(OR(I3="",AND(I3&lt;&gt;"DISC10",I3&lt;&gt;"DISC15",I3&lt;&gt;"DISC20",I3&lt;&gt;"DISC30")),0,J3)</f>
        <v>0.2</v>
      </c>
      <c r="P3" s="12">
        <f t="shared" ref="P3:P1002" si="4">H3*(1-IF(I3="DISC10",10%,IF(I3="DISC15",15%,IF(I3="DISC20",20%,IF(I3="DISC30",30%,0)))))</f>
        <v>10331.2</v>
      </c>
    </row>
    <row r="4" ht="12.75" customHeight="1">
      <c r="A4" s="3" t="s">
        <v>35</v>
      </c>
      <c r="B4" s="3" t="s">
        <v>36</v>
      </c>
      <c r="C4" s="3" t="s">
        <v>18</v>
      </c>
      <c r="D4" s="3" t="s">
        <v>16</v>
      </c>
      <c r="E4" s="3" t="s">
        <v>20</v>
      </c>
      <c r="F4" s="3" t="s">
        <v>21</v>
      </c>
      <c r="G4" s="3" t="s">
        <v>13</v>
      </c>
      <c r="H4" s="3">
        <v>12122.0</v>
      </c>
      <c r="I4" s="3" t="s">
        <v>37</v>
      </c>
      <c r="J4" s="3">
        <v>0.1</v>
      </c>
      <c r="K4" s="3">
        <v>14000.0</v>
      </c>
      <c r="L4" s="3" t="s">
        <v>65</v>
      </c>
      <c r="M4" s="3" t="str">
        <f t="shared" si="1"/>
        <v>Below Target</v>
      </c>
      <c r="N4" s="10">
        <f t="shared" si="2"/>
        <v>0.5165165165</v>
      </c>
      <c r="O4" s="11">
        <f t="shared" si="3"/>
        <v>0.1</v>
      </c>
      <c r="P4" s="12">
        <f t="shared" si="4"/>
        <v>10909.8</v>
      </c>
    </row>
    <row r="5" ht="12.75" customHeight="1">
      <c r="A5" s="3" t="s">
        <v>39</v>
      </c>
      <c r="B5" s="3" t="s">
        <v>40</v>
      </c>
      <c r="C5" s="3" t="s">
        <v>18</v>
      </c>
      <c r="D5" s="3" t="s">
        <v>16</v>
      </c>
      <c r="E5" s="3" t="s">
        <v>20</v>
      </c>
      <c r="F5" s="3" t="s">
        <v>41</v>
      </c>
      <c r="G5" s="3" t="s">
        <v>12</v>
      </c>
      <c r="H5" s="3">
        <v>14661.0</v>
      </c>
      <c r="I5" s="3" t="s">
        <v>42</v>
      </c>
      <c r="K5" s="3">
        <v>14000.0</v>
      </c>
      <c r="L5" s="3" t="s">
        <v>68</v>
      </c>
      <c r="M5" s="3" t="str">
        <f t="shared" si="1"/>
        <v>Target Achieved</v>
      </c>
      <c r="N5" s="10">
        <f t="shared" si="2"/>
        <v>0.5170340681</v>
      </c>
      <c r="O5" s="11" t="str">
        <f t="shared" si="3"/>
        <v/>
      </c>
      <c r="P5" s="12">
        <f t="shared" si="4"/>
        <v>12461.85</v>
      </c>
    </row>
    <row r="6" ht="12.75" customHeight="1">
      <c r="A6" s="3" t="s">
        <v>43</v>
      </c>
      <c r="B6" s="3" t="s">
        <v>44</v>
      </c>
      <c r="C6" s="3" t="s">
        <v>45</v>
      </c>
      <c r="D6" s="3" t="s">
        <v>22</v>
      </c>
      <c r="E6" s="3" t="s">
        <v>46</v>
      </c>
      <c r="F6" s="3" t="s">
        <v>41</v>
      </c>
      <c r="G6" s="3" t="s">
        <v>12</v>
      </c>
      <c r="H6" s="3">
        <v>16731.0</v>
      </c>
      <c r="I6" s="3" t="s">
        <v>47</v>
      </c>
      <c r="J6" s="3">
        <v>0.3</v>
      </c>
      <c r="K6" s="3">
        <v>17000.0</v>
      </c>
      <c r="L6" s="3" t="s">
        <v>73</v>
      </c>
      <c r="M6" s="3" t="str">
        <f t="shared" si="1"/>
        <v>Below Target</v>
      </c>
      <c r="N6" s="10">
        <f t="shared" si="2"/>
        <v>0.5165496489</v>
      </c>
      <c r="O6" s="11">
        <f t="shared" si="3"/>
        <v>0.3</v>
      </c>
      <c r="P6" s="12">
        <f t="shared" si="4"/>
        <v>11711.7</v>
      </c>
    </row>
    <row r="7" ht="12.75" customHeight="1">
      <c r="A7" s="3" t="s">
        <v>48</v>
      </c>
      <c r="B7" s="3" t="s">
        <v>49</v>
      </c>
      <c r="C7" s="3" t="s">
        <v>45</v>
      </c>
      <c r="D7" s="3" t="s">
        <v>22</v>
      </c>
      <c r="E7" s="3" t="s">
        <v>46</v>
      </c>
      <c r="F7" s="3" t="s">
        <v>41</v>
      </c>
      <c r="G7" s="3" t="s">
        <v>11</v>
      </c>
      <c r="H7" s="3">
        <v>15396.0</v>
      </c>
      <c r="I7" s="3" t="s">
        <v>47</v>
      </c>
      <c r="J7" s="3">
        <v>0.3</v>
      </c>
      <c r="K7" s="3">
        <v>17000.0</v>
      </c>
      <c r="L7" s="3" t="s">
        <v>77</v>
      </c>
      <c r="M7" s="3" t="str">
        <f t="shared" si="1"/>
        <v>Below Target</v>
      </c>
      <c r="N7" s="10">
        <f t="shared" si="2"/>
        <v>0.5170682731</v>
      </c>
      <c r="O7" s="11">
        <f t="shared" si="3"/>
        <v>0.3</v>
      </c>
      <c r="P7" s="12">
        <f t="shared" si="4"/>
        <v>10777.2</v>
      </c>
    </row>
    <row r="8" ht="12.75" customHeight="1">
      <c r="A8" s="3" t="s">
        <v>50</v>
      </c>
      <c r="B8" s="3" t="s">
        <v>51</v>
      </c>
      <c r="C8" s="3" t="s">
        <v>45</v>
      </c>
      <c r="D8" s="3" t="s">
        <v>22</v>
      </c>
      <c r="E8" s="3" t="s">
        <v>46</v>
      </c>
      <c r="F8" s="3" t="s">
        <v>52</v>
      </c>
      <c r="G8" s="3" t="s">
        <v>11</v>
      </c>
      <c r="H8" s="3">
        <v>17196.0</v>
      </c>
      <c r="I8" s="3" t="s">
        <v>37</v>
      </c>
      <c r="J8" s="3">
        <v>0.1</v>
      </c>
      <c r="K8" s="3">
        <v>17000.0</v>
      </c>
      <c r="L8" s="3" t="s">
        <v>80</v>
      </c>
      <c r="M8" s="3" t="str">
        <f t="shared" si="1"/>
        <v>Target Achieved</v>
      </c>
      <c r="N8" s="10">
        <f t="shared" si="2"/>
        <v>0.5175879397</v>
      </c>
      <c r="O8" s="11">
        <f t="shared" si="3"/>
        <v>0.1</v>
      </c>
      <c r="P8" s="12">
        <f t="shared" si="4"/>
        <v>15476.4</v>
      </c>
    </row>
    <row r="9" ht="12.75" customHeight="1">
      <c r="A9" s="3" t="s">
        <v>53</v>
      </c>
      <c r="B9" s="3" t="s">
        <v>54</v>
      </c>
      <c r="C9" s="3" t="s">
        <v>45</v>
      </c>
      <c r="D9" s="3" t="s">
        <v>22</v>
      </c>
      <c r="E9" s="3" t="s">
        <v>20</v>
      </c>
      <c r="F9" s="3" t="s">
        <v>52</v>
      </c>
      <c r="G9" s="3" t="s">
        <v>11</v>
      </c>
      <c r="H9" s="3">
        <v>17364.0</v>
      </c>
      <c r="I9" s="3" t="s">
        <v>23</v>
      </c>
      <c r="J9" s="3">
        <v>0.2</v>
      </c>
      <c r="K9" s="3">
        <v>17000.0</v>
      </c>
      <c r="L9" s="3" t="s">
        <v>83</v>
      </c>
      <c r="M9" s="3" t="str">
        <f t="shared" si="1"/>
        <v>Target Achieved</v>
      </c>
      <c r="N9" s="10">
        <f t="shared" si="2"/>
        <v>0.5171026157</v>
      </c>
      <c r="O9" s="11">
        <f t="shared" si="3"/>
        <v>0.2</v>
      </c>
      <c r="P9" s="12">
        <f t="shared" si="4"/>
        <v>13891.2</v>
      </c>
      <c r="S9" s="8" t="s">
        <v>86</v>
      </c>
    </row>
    <row r="10" ht="12.75" customHeight="1">
      <c r="A10" s="3" t="s">
        <v>55</v>
      </c>
      <c r="B10" s="3" t="s">
        <v>56</v>
      </c>
      <c r="C10" s="3" t="s">
        <v>57</v>
      </c>
      <c r="D10" s="3" t="s">
        <v>19</v>
      </c>
      <c r="E10" s="3" t="s">
        <v>58</v>
      </c>
      <c r="F10" s="3" t="s">
        <v>41</v>
      </c>
      <c r="G10" s="3" t="s">
        <v>13</v>
      </c>
      <c r="H10" s="3">
        <v>14549.0</v>
      </c>
      <c r="I10" s="3" t="s">
        <v>37</v>
      </c>
      <c r="J10" s="3">
        <v>0.1</v>
      </c>
      <c r="K10" s="3">
        <v>13000.0</v>
      </c>
      <c r="L10" s="3" t="s">
        <v>88</v>
      </c>
      <c r="M10" s="3" t="str">
        <f t="shared" si="1"/>
        <v>Target Achieved</v>
      </c>
      <c r="N10" s="10">
        <f t="shared" si="2"/>
        <v>0.5166163142</v>
      </c>
      <c r="O10" s="11">
        <f t="shared" si="3"/>
        <v>0.1</v>
      </c>
      <c r="P10" s="12">
        <f t="shared" si="4"/>
        <v>13094.1</v>
      </c>
      <c r="S10" s="13" t="s">
        <v>90</v>
      </c>
      <c r="T10" s="13" t="s">
        <v>93</v>
      </c>
    </row>
    <row r="11" ht="12.75" customHeight="1">
      <c r="A11" s="3" t="s">
        <v>59</v>
      </c>
      <c r="B11" s="3" t="s">
        <v>60</v>
      </c>
      <c r="C11" s="3" t="s">
        <v>45</v>
      </c>
      <c r="D11" s="3" t="s">
        <v>22</v>
      </c>
      <c r="E11" s="3" t="s">
        <v>46</v>
      </c>
      <c r="F11" s="3" t="s">
        <v>21</v>
      </c>
      <c r="G11" s="3" t="s">
        <v>11</v>
      </c>
      <c r="H11" s="3">
        <v>15858.0</v>
      </c>
      <c r="I11" s="3" t="s">
        <v>47</v>
      </c>
      <c r="J11" s="3">
        <v>0.3</v>
      </c>
      <c r="K11" s="3">
        <v>17000.0</v>
      </c>
      <c r="L11" s="3" t="s">
        <v>96</v>
      </c>
      <c r="M11" s="3" t="str">
        <f t="shared" si="1"/>
        <v>Below Target</v>
      </c>
      <c r="N11" s="10">
        <f t="shared" si="2"/>
        <v>0.5161290323</v>
      </c>
      <c r="O11" s="11">
        <f t="shared" si="3"/>
        <v>0.3</v>
      </c>
      <c r="P11" s="12">
        <f t="shared" si="4"/>
        <v>11100.6</v>
      </c>
      <c r="S11" s="14" t="s">
        <v>18</v>
      </c>
      <c r="T11" s="14" t="str">
        <f t="shared" ref="T11:T14" si="5">XLOOKUP(S11,C3:C1002,D3:D1002)</f>
        <v>Data Analytics</v>
      </c>
    </row>
    <row r="12" ht="12.75" customHeight="1">
      <c r="A12" s="3" t="s">
        <v>61</v>
      </c>
      <c r="B12" s="3" t="s">
        <v>62</v>
      </c>
      <c r="C12" s="3" t="s">
        <v>18</v>
      </c>
      <c r="D12" s="3" t="s">
        <v>16</v>
      </c>
      <c r="E12" s="3" t="s">
        <v>20</v>
      </c>
      <c r="F12" s="3" t="s">
        <v>52</v>
      </c>
      <c r="G12" s="3" t="s">
        <v>13</v>
      </c>
      <c r="H12" s="3">
        <v>14187.0</v>
      </c>
      <c r="I12" s="3" t="s">
        <v>23</v>
      </c>
      <c r="J12" s="3">
        <v>0.2</v>
      </c>
      <c r="K12" s="3">
        <v>14000.0</v>
      </c>
      <c r="L12" s="15" t="s">
        <v>103</v>
      </c>
      <c r="M12" s="3" t="str">
        <f t="shared" si="1"/>
        <v>Target Achieved</v>
      </c>
      <c r="N12" s="10">
        <f t="shared" si="2"/>
        <v>0.5166498486</v>
      </c>
      <c r="O12" s="11">
        <f t="shared" si="3"/>
        <v>0.2</v>
      </c>
      <c r="P12" s="12">
        <f t="shared" si="4"/>
        <v>11349.6</v>
      </c>
      <c r="S12" s="16" t="s">
        <v>57</v>
      </c>
      <c r="T12" s="14" t="str">
        <f t="shared" si="5"/>
        <v>Data Science</v>
      </c>
    </row>
    <row r="13" ht="12.75" customHeight="1">
      <c r="A13" s="3" t="s">
        <v>63</v>
      </c>
      <c r="B13" s="3" t="s">
        <v>64</v>
      </c>
      <c r="C13" s="3" t="s">
        <v>45</v>
      </c>
      <c r="D13" s="3" t="s">
        <v>22</v>
      </c>
      <c r="E13" s="3" t="s">
        <v>20</v>
      </c>
      <c r="F13" s="3" t="s">
        <v>52</v>
      </c>
      <c r="G13" s="3" t="s">
        <v>12</v>
      </c>
      <c r="H13" s="3">
        <v>15899.0</v>
      </c>
      <c r="I13" s="3" t="s">
        <v>47</v>
      </c>
      <c r="J13" s="3">
        <v>0.3</v>
      </c>
      <c r="K13" s="3">
        <v>17000.0</v>
      </c>
      <c r="L13" s="3" t="s">
        <v>106</v>
      </c>
      <c r="M13" s="3" t="str">
        <f t="shared" si="1"/>
        <v>Below Target</v>
      </c>
      <c r="N13" s="10">
        <f t="shared" si="2"/>
        <v>0.5161616162</v>
      </c>
      <c r="O13" s="11">
        <f t="shared" si="3"/>
        <v>0.3</v>
      </c>
      <c r="P13" s="12">
        <f t="shared" si="4"/>
        <v>11129.3</v>
      </c>
      <c r="S13" s="16" t="s">
        <v>45</v>
      </c>
      <c r="T13" s="14" t="str">
        <f t="shared" si="5"/>
        <v>Full Stack Dev</v>
      </c>
    </row>
    <row r="14" ht="12.75" customHeight="1">
      <c r="A14" s="3" t="s">
        <v>66</v>
      </c>
      <c r="B14" s="3" t="s">
        <v>67</v>
      </c>
      <c r="C14" s="3" t="s">
        <v>18</v>
      </c>
      <c r="D14" s="3" t="s">
        <v>16</v>
      </c>
      <c r="E14" s="3" t="s">
        <v>46</v>
      </c>
      <c r="F14" s="3" t="s">
        <v>41</v>
      </c>
      <c r="G14" s="3" t="s">
        <v>11</v>
      </c>
      <c r="H14" s="3">
        <v>13643.0</v>
      </c>
      <c r="I14" s="3" t="s">
        <v>47</v>
      </c>
      <c r="J14" s="3">
        <v>0.3</v>
      </c>
      <c r="K14" s="3">
        <v>14000.0</v>
      </c>
      <c r="L14" s="15" t="s">
        <v>109</v>
      </c>
      <c r="M14" s="3" t="str">
        <f t="shared" si="1"/>
        <v>Below Target</v>
      </c>
      <c r="N14" s="10">
        <f t="shared" si="2"/>
        <v>0.5166835187</v>
      </c>
      <c r="O14" s="11">
        <f t="shared" si="3"/>
        <v>0.3</v>
      </c>
      <c r="P14" s="12">
        <f t="shared" si="4"/>
        <v>9550.1</v>
      </c>
      <c r="S14" s="16" t="s">
        <v>76</v>
      </c>
      <c r="T14" s="14" t="str">
        <f t="shared" si="5"/>
        <v>UI UX Design</v>
      </c>
    </row>
    <row r="15" ht="12.75" customHeight="1">
      <c r="A15" s="3" t="s">
        <v>69</v>
      </c>
      <c r="B15" s="3" t="s">
        <v>70</v>
      </c>
      <c r="C15" s="3" t="s">
        <v>45</v>
      </c>
      <c r="D15" s="3" t="s">
        <v>22</v>
      </c>
      <c r="E15" s="3" t="s">
        <v>46</v>
      </c>
      <c r="F15" s="3" t="s">
        <v>52</v>
      </c>
      <c r="G15" s="3" t="s">
        <v>11</v>
      </c>
      <c r="H15" s="3">
        <v>16620.0</v>
      </c>
      <c r="K15" s="3">
        <v>17000.0</v>
      </c>
      <c r="L15" s="15" t="s">
        <v>114</v>
      </c>
      <c r="M15" s="3" t="str">
        <f t="shared" si="1"/>
        <v>Below Target</v>
      </c>
      <c r="N15" s="10">
        <f t="shared" si="2"/>
        <v>0.5172064777</v>
      </c>
      <c r="O15" s="11">
        <f t="shared" si="3"/>
        <v>0</v>
      </c>
      <c r="P15" s="12">
        <f t="shared" si="4"/>
        <v>16620</v>
      </c>
    </row>
    <row r="16" ht="12.75" customHeight="1">
      <c r="A16" s="3" t="s">
        <v>71</v>
      </c>
      <c r="B16" s="3" t="s">
        <v>72</v>
      </c>
      <c r="C16" s="3" t="s">
        <v>57</v>
      </c>
      <c r="D16" s="3" t="s">
        <v>19</v>
      </c>
      <c r="E16" s="3" t="s">
        <v>20</v>
      </c>
      <c r="F16" s="3" t="s">
        <v>52</v>
      </c>
      <c r="G16" s="3" t="s">
        <v>12</v>
      </c>
      <c r="H16" s="3">
        <v>12076.0</v>
      </c>
      <c r="I16" s="3" t="s">
        <v>42</v>
      </c>
      <c r="K16" s="3">
        <v>13000.0</v>
      </c>
      <c r="L16" s="3" t="s">
        <v>117</v>
      </c>
      <c r="M16" s="3" t="str">
        <f t="shared" si="1"/>
        <v>Below Target</v>
      </c>
      <c r="N16" s="10">
        <f t="shared" si="2"/>
        <v>0.5177304965</v>
      </c>
      <c r="O16" s="11" t="str">
        <f t="shared" si="3"/>
        <v/>
      </c>
      <c r="P16" s="12">
        <f t="shared" si="4"/>
        <v>10264.6</v>
      </c>
      <c r="S16" s="8" t="s">
        <v>120</v>
      </c>
    </row>
    <row r="17" ht="12.75" customHeight="1">
      <c r="A17" s="3" t="s">
        <v>74</v>
      </c>
      <c r="B17" s="3" t="s">
        <v>75</v>
      </c>
      <c r="C17" s="3" t="s">
        <v>76</v>
      </c>
      <c r="D17" s="3" t="s">
        <v>24</v>
      </c>
      <c r="E17" s="3" t="s">
        <v>58</v>
      </c>
      <c r="F17" s="3" t="s">
        <v>41</v>
      </c>
      <c r="G17" s="3" t="s">
        <v>13</v>
      </c>
      <c r="H17" s="3">
        <v>9087.0</v>
      </c>
      <c r="K17" s="3">
        <v>9000.0</v>
      </c>
      <c r="L17" s="15" t="s">
        <v>123</v>
      </c>
      <c r="M17" s="3" t="str">
        <f t="shared" si="1"/>
        <v>Target Achieved</v>
      </c>
      <c r="N17" s="10">
        <f t="shared" si="2"/>
        <v>0.5182555781</v>
      </c>
      <c r="O17" s="11">
        <f t="shared" si="3"/>
        <v>0</v>
      </c>
      <c r="P17" s="12">
        <f t="shared" si="4"/>
        <v>9087</v>
      </c>
      <c r="S17" s="8" t="s">
        <v>128</v>
      </c>
    </row>
    <row r="18" ht="12.75" customHeight="1">
      <c r="A18" s="3" t="s">
        <v>78</v>
      </c>
      <c r="B18" s="3" t="s">
        <v>79</v>
      </c>
      <c r="C18" s="3" t="s">
        <v>18</v>
      </c>
      <c r="D18" s="3" t="s">
        <v>16</v>
      </c>
      <c r="E18" s="3" t="s">
        <v>46</v>
      </c>
      <c r="F18" s="3" t="s">
        <v>52</v>
      </c>
      <c r="G18" s="3" t="s">
        <v>13</v>
      </c>
      <c r="H18" s="3">
        <v>15244.0</v>
      </c>
      <c r="K18" s="3">
        <v>14000.0</v>
      </c>
      <c r="L18" s="15" t="s">
        <v>130</v>
      </c>
      <c r="M18" s="3" t="str">
        <f t="shared" si="1"/>
        <v>Target Achieved</v>
      </c>
      <c r="N18" s="10">
        <f t="shared" si="2"/>
        <v>0.5177664975</v>
      </c>
      <c r="O18" s="11">
        <f t="shared" si="3"/>
        <v>0</v>
      </c>
      <c r="P18" s="12">
        <f t="shared" si="4"/>
        <v>15244</v>
      </c>
      <c r="S18" s="17">
        <f>COUNTIF(G3:G1002,"Mobile")</f>
        <v>321</v>
      </c>
    </row>
    <row r="19" ht="12.75" customHeight="1">
      <c r="A19" s="3" t="s">
        <v>81</v>
      </c>
      <c r="B19" s="3" t="s">
        <v>82</v>
      </c>
      <c r="C19" s="3" t="s">
        <v>76</v>
      </c>
      <c r="D19" s="3" t="s">
        <v>24</v>
      </c>
      <c r="E19" s="3" t="s">
        <v>20</v>
      </c>
      <c r="F19" s="3" t="s">
        <v>21</v>
      </c>
      <c r="G19" s="3" t="s">
        <v>12</v>
      </c>
      <c r="H19" s="3">
        <v>8029.0</v>
      </c>
      <c r="I19" s="3" t="s">
        <v>42</v>
      </c>
      <c r="K19" s="3">
        <v>9000.0</v>
      </c>
      <c r="L19" s="3" t="s">
        <v>139</v>
      </c>
      <c r="M19" s="3" t="str">
        <f t="shared" si="1"/>
        <v>Below Target</v>
      </c>
      <c r="N19" s="10">
        <f t="shared" si="2"/>
        <v>0.5172764228</v>
      </c>
      <c r="O19" s="11" t="str">
        <f t="shared" si="3"/>
        <v/>
      </c>
      <c r="P19" s="12">
        <f t="shared" si="4"/>
        <v>6824.65</v>
      </c>
    </row>
    <row r="20" ht="12.75" customHeight="1">
      <c r="A20" s="3" t="s">
        <v>84</v>
      </c>
      <c r="B20" s="3" t="s">
        <v>85</v>
      </c>
      <c r="C20" s="3" t="s">
        <v>18</v>
      </c>
      <c r="D20" s="3" t="s">
        <v>16</v>
      </c>
      <c r="E20" s="3" t="s">
        <v>20</v>
      </c>
      <c r="F20" s="3" t="s">
        <v>52</v>
      </c>
      <c r="G20" s="3" t="s">
        <v>11</v>
      </c>
      <c r="H20" s="3">
        <v>15148.0</v>
      </c>
      <c r="I20" s="3" t="s">
        <v>47</v>
      </c>
      <c r="J20" s="3">
        <v>0.3</v>
      </c>
      <c r="K20" s="3">
        <v>14000.0</v>
      </c>
      <c r="L20" s="15" t="s">
        <v>147</v>
      </c>
      <c r="M20" s="3" t="str">
        <f t="shared" si="1"/>
        <v>Target Achieved</v>
      </c>
      <c r="N20" s="10">
        <f t="shared" si="2"/>
        <v>0.517802645</v>
      </c>
      <c r="O20" s="11">
        <f t="shared" si="3"/>
        <v>0.3</v>
      </c>
      <c r="P20" s="12">
        <f t="shared" si="4"/>
        <v>10603.6</v>
      </c>
      <c r="S20" s="8" t="s">
        <v>150</v>
      </c>
    </row>
    <row r="21" ht="12.75" customHeight="1">
      <c r="A21" s="3" t="s">
        <v>87</v>
      </c>
      <c r="B21" s="3" t="s">
        <v>89</v>
      </c>
      <c r="C21" s="3" t="s">
        <v>57</v>
      </c>
      <c r="D21" s="3" t="s">
        <v>19</v>
      </c>
      <c r="E21" s="3" t="s">
        <v>58</v>
      </c>
      <c r="F21" s="3" t="s">
        <v>41</v>
      </c>
      <c r="G21" s="3" t="s">
        <v>12</v>
      </c>
      <c r="H21" s="3">
        <v>14587.0</v>
      </c>
      <c r="I21" s="3" t="s">
        <v>47</v>
      </c>
      <c r="J21" s="3">
        <v>0.3</v>
      </c>
      <c r="K21" s="3">
        <v>13000.0</v>
      </c>
      <c r="L21" s="15" t="s">
        <v>155</v>
      </c>
      <c r="M21" s="3" t="str">
        <f t="shared" si="1"/>
        <v>Target Achieved</v>
      </c>
      <c r="N21" s="10">
        <f t="shared" si="2"/>
        <v>0.517311609</v>
      </c>
      <c r="O21" s="11">
        <f t="shared" si="3"/>
        <v>0.3</v>
      </c>
      <c r="P21" s="12">
        <f t="shared" si="4"/>
        <v>10210.9</v>
      </c>
      <c r="S21" s="8" t="s">
        <v>161</v>
      </c>
    </row>
    <row r="22" ht="12.75" customHeight="1">
      <c r="A22" s="3" t="s">
        <v>91</v>
      </c>
      <c r="B22" s="3" t="s">
        <v>92</v>
      </c>
      <c r="C22" s="3" t="s">
        <v>18</v>
      </c>
      <c r="D22" s="3" t="s">
        <v>16</v>
      </c>
      <c r="E22" s="3" t="s">
        <v>20</v>
      </c>
      <c r="F22" s="3" t="s">
        <v>21</v>
      </c>
      <c r="G22" s="3" t="s">
        <v>12</v>
      </c>
      <c r="H22" s="3">
        <v>14079.0</v>
      </c>
      <c r="I22" s="3" t="s">
        <v>42</v>
      </c>
      <c r="K22" s="3">
        <v>14000.0</v>
      </c>
      <c r="L22" s="3" t="s">
        <v>164</v>
      </c>
      <c r="M22" s="3" t="str">
        <f t="shared" si="1"/>
        <v>Target Achieved</v>
      </c>
      <c r="N22" s="10">
        <f t="shared" si="2"/>
        <v>0.5168195719</v>
      </c>
      <c r="O22" s="11" t="str">
        <f t="shared" si="3"/>
        <v/>
      </c>
      <c r="P22" s="12">
        <f t="shared" si="4"/>
        <v>11967.15</v>
      </c>
      <c r="S22" s="17">
        <f>SUMIFS(H3:H1002,D3:D1002,"Data Analytics")</f>
        <v>3507731</v>
      </c>
    </row>
    <row r="23" ht="12.75" customHeight="1">
      <c r="A23" s="3" t="s">
        <v>97</v>
      </c>
      <c r="B23" s="3" t="s">
        <v>98</v>
      </c>
      <c r="C23" s="3" t="s">
        <v>57</v>
      </c>
      <c r="D23" s="3" t="s">
        <v>19</v>
      </c>
      <c r="E23" s="3" t="s">
        <v>20</v>
      </c>
      <c r="F23" s="3" t="s">
        <v>52</v>
      </c>
      <c r="G23" s="3" t="s">
        <v>13</v>
      </c>
      <c r="H23" s="3">
        <v>13453.0</v>
      </c>
      <c r="I23" s="3" t="s">
        <v>47</v>
      </c>
      <c r="J23" s="3">
        <v>0.3</v>
      </c>
      <c r="K23" s="3">
        <v>13000.0</v>
      </c>
      <c r="L23" s="15" t="s">
        <v>177</v>
      </c>
      <c r="M23" s="3" t="str">
        <f t="shared" si="1"/>
        <v>Target Achieved</v>
      </c>
      <c r="N23" s="10">
        <f t="shared" si="2"/>
        <v>0.5163265306</v>
      </c>
      <c r="O23" s="11">
        <f t="shared" si="3"/>
        <v>0.3</v>
      </c>
      <c r="P23" s="12">
        <f t="shared" si="4"/>
        <v>9417.1</v>
      </c>
    </row>
    <row r="24" ht="12.75" customHeight="1">
      <c r="A24" s="3" t="s">
        <v>99</v>
      </c>
      <c r="B24" s="3" t="s">
        <v>100</v>
      </c>
      <c r="C24" s="3" t="s">
        <v>45</v>
      </c>
      <c r="D24" s="3" t="s">
        <v>22</v>
      </c>
      <c r="E24" s="3" t="s">
        <v>58</v>
      </c>
      <c r="F24" s="3" t="s">
        <v>41</v>
      </c>
      <c r="G24" s="3" t="s">
        <v>13</v>
      </c>
      <c r="H24" s="3">
        <v>15986.0</v>
      </c>
      <c r="I24" s="3" t="s">
        <v>42</v>
      </c>
      <c r="K24" s="3">
        <v>17000.0</v>
      </c>
      <c r="L24" s="15" t="s">
        <v>183</v>
      </c>
      <c r="M24" s="3" t="str">
        <f t="shared" si="1"/>
        <v>Below Target</v>
      </c>
      <c r="N24" s="10">
        <f t="shared" si="2"/>
        <v>0.5158324821</v>
      </c>
      <c r="O24" s="11" t="str">
        <f t="shared" si="3"/>
        <v/>
      </c>
      <c r="P24" s="12">
        <f t="shared" si="4"/>
        <v>13588.1</v>
      </c>
    </row>
    <row r="25" ht="12.75" customHeight="1">
      <c r="A25" s="3" t="s">
        <v>101</v>
      </c>
      <c r="B25" s="3" t="s">
        <v>102</v>
      </c>
      <c r="C25" s="3" t="s">
        <v>76</v>
      </c>
      <c r="D25" s="3" t="s">
        <v>24</v>
      </c>
      <c r="E25" s="3" t="s">
        <v>46</v>
      </c>
      <c r="F25" s="3" t="s">
        <v>52</v>
      </c>
      <c r="G25" s="3" t="s">
        <v>13</v>
      </c>
      <c r="H25" s="3">
        <v>7525.0</v>
      </c>
      <c r="K25" s="3">
        <v>9000.0</v>
      </c>
      <c r="L25" s="15" t="s">
        <v>183</v>
      </c>
      <c r="M25" s="3" t="str">
        <f t="shared" si="1"/>
        <v>Below Target</v>
      </c>
      <c r="N25" s="10">
        <f t="shared" si="2"/>
        <v>0.5163599182</v>
      </c>
      <c r="O25" s="11">
        <f t="shared" si="3"/>
        <v>0</v>
      </c>
      <c r="P25" s="12">
        <f t="shared" si="4"/>
        <v>7525</v>
      </c>
      <c r="S25" s="8" t="s">
        <v>190</v>
      </c>
    </row>
    <row r="26" ht="12.75" customHeight="1">
      <c r="A26" s="3" t="s">
        <v>104</v>
      </c>
      <c r="B26" s="3" t="s">
        <v>105</v>
      </c>
      <c r="C26" s="3" t="s">
        <v>45</v>
      </c>
      <c r="D26" s="3" t="s">
        <v>22</v>
      </c>
      <c r="E26" s="3" t="s">
        <v>20</v>
      </c>
      <c r="F26" s="3" t="s">
        <v>52</v>
      </c>
      <c r="G26" s="3" t="s">
        <v>11</v>
      </c>
      <c r="H26" s="3">
        <v>18950.0</v>
      </c>
      <c r="I26" s="3" t="s">
        <v>23</v>
      </c>
      <c r="J26" s="3">
        <v>0.2</v>
      </c>
      <c r="K26" s="3">
        <v>17000.0</v>
      </c>
      <c r="L26" s="3" t="s">
        <v>80</v>
      </c>
      <c r="M26" s="3" t="str">
        <f t="shared" si="1"/>
        <v>Target Achieved</v>
      </c>
      <c r="N26" s="10">
        <f t="shared" si="2"/>
        <v>0.516888434</v>
      </c>
      <c r="O26" s="11">
        <f t="shared" si="3"/>
        <v>0.2</v>
      </c>
      <c r="P26" s="12">
        <f t="shared" si="4"/>
        <v>15160</v>
      </c>
      <c r="S26" s="18" t="s">
        <v>198</v>
      </c>
    </row>
    <row r="27" ht="12.75" customHeight="1">
      <c r="A27" s="3" t="s">
        <v>107</v>
      </c>
      <c r="B27" s="3" t="s">
        <v>108</v>
      </c>
      <c r="C27" s="3" t="s">
        <v>57</v>
      </c>
      <c r="D27" s="3" t="s">
        <v>19</v>
      </c>
      <c r="E27" s="3" t="s">
        <v>20</v>
      </c>
      <c r="F27" s="3" t="s">
        <v>21</v>
      </c>
      <c r="G27" s="3" t="s">
        <v>11</v>
      </c>
      <c r="H27" s="3">
        <v>13751.0</v>
      </c>
      <c r="I27" s="3" t="s">
        <v>47</v>
      </c>
      <c r="J27" s="3">
        <v>0.3</v>
      </c>
      <c r="K27" s="3">
        <v>13000.0</v>
      </c>
      <c r="L27" s="3" t="s">
        <v>203</v>
      </c>
      <c r="M27" s="3" t="str">
        <f t="shared" si="1"/>
        <v>Target Achieved</v>
      </c>
      <c r="N27" s="10">
        <f t="shared" si="2"/>
        <v>0.5163934426</v>
      </c>
      <c r="O27" s="11">
        <f t="shared" si="3"/>
        <v>0.3</v>
      </c>
      <c r="P27" s="12">
        <f t="shared" si="4"/>
        <v>9625.7</v>
      </c>
      <c r="S27" s="19" t="s">
        <v>208</v>
      </c>
      <c r="T27" s="19" t="s">
        <v>209</v>
      </c>
    </row>
    <row r="28" ht="12.75" customHeight="1">
      <c r="A28" s="3" t="s">
        <v>110</v>
      </c>
      <c r="B28" s="3" t="s">
        <v>111</v>
      </c>
      <c r="C28" s="3" t="s">
        <v>76</v>
      </c>
      <c r="D28" s="3" t="s">
        <v>24</v>
      </c>
      <c r="E28" s="3" t="s">
        <v>46</v>
      </c>
      <c r="F28" s="3" t="s">
        <v>41</v>
      </c>
      <c r="G28" s="3" t="s">
        <v>13</v>
      </c>
      <c r="H28" s="3">
        <v>7262.0</v>
      </c>
      <c r="I28" s="3" t="s">
        <v>47</v>
      </c>
      <c r="J28" s="3">
        <v>0.3</v>
      </c>
      <c r="K28" s="3">
        <v>9000.0</v>
      </c>
      <c r="L28" s="15" t="s">
        <v>211</v>
      </c>
      <c r="M28" s="3" t="str">
        <f t="shared" si="1"/>
        <v>Below Target</v>
      </c>
      <c r="N28" s="10">
        <f t="shared" si="2"/>
        <v>0.5158974359</v>
      </c>
      <c r="O28" s="11">
        <f t="shared" si="3"/>
        <v>0.3</v>
      </c>
      <c r="P28" s="12">
        <f t="shared" si="4"/>
        <v>5083.4</v>
      </c>
      <c r="S28" s="14" t="s">
        <v>15</v>
      </c>
      <c r="T28" s="14" t="str">
        <f t="shared" ref="T28:T32" si="6">VLOOKUP(S28,A3:F1002,6,FALSE)</f>
        <v>Priya</v>
      </c>
    </row>
    <row r="29" ht="12.75" customHeight="1">
      <c r="A29" s="3" t="s">
        <v>112</v>
      </c>
      <c r="B29" s="3" t="s">
        <v>113</v>
      </c>
      <c r="C29" s="3" t="s">
        <v>57</v>
      </c>
      <c r="D29" s="3" t="s">
        <v>19</v>
      </c>
      <c r="E29" s="3" t="s">
        <v>20</v>
      </c>
      <c r="F29" s="3" t="s">
        <v>41</v>
      </c>
      <c r="G29" s="3" t="s">
        <v>13</v>
      </c>
      <c r="H29" s="3">
        <v>11290.0</v>
      </c>
      <c r="I29" s="3" t="s">
        <v>37</v>
      </c>
      <c r="J29" s="3">
        <v>0.1</v>
      </c>
      <c r="K29" s="3">
        <v>13000.0</v>
      </c>
      <c r="L29" s="3" t="s">
        <v>221</v>
      </c>
      <c r="M29" s="3" t="str">
        <f t="shared" si="1"/>
        <v>Below Target</v>
      </c>
      <c r="N29" s="10">
        <f t="shared" si="2"/>
        <v>0.5164271047</v>
      </c>
      <c r="O29" s="11">
        <f t="shared" si="3"/>
        <v>0.1</v>
      </c>
      <c r="P29" s="12">
        <f t="shared" si="4"/>
        <v>10161</v>
      </c>
      <c r="S29" s="14" t="s">
        <v>35</v>
      </c>
      <c r="T29" s="14" t="str">
        <f t="shared" si="6"/>
        <v>Priya</v>
      </c>
    </row>
    <row r="30" ht="12.75" customHeight="1">
      <c r="A30" s="3" t="s">
        <v>115</v>
      </c>
      <c r="B30" s="3" t="s">
        <v>56</v>
      </c>
      <c r="C30" s="3" t="s">
        <v>45</v>
      </c>
      <c r="D30" s="3" t="s">
        <v>22</v>
      </c>
      <c r="E30" s="3" t="s">
        <v>46</v>
      </c>
      <c r="F30" s="3" t="s">
        <v>52</v>
      </c>
      <c r="G30" s="3" t="s">
        <v>13</v>
      </c>
      <c r="H30" s="3">
        <v>16140.0</v>
      </c>
      <c r="K30" s="3">
        <v>17000.0</v>
      </c>
      <c r="L30" s="3" t="s">
        <v>65</v>
      </c>
      <c r="M30" s="3" t="str">
        <f t="shared" si="1"/>
        <v>Below Target</v>
      </c>
      <c r="N30" s="10">
        <f t="shared" si="2"/>
        <v>0.5169578623</v>
      </c>
      <c r="O30" s="11">
        <f t="shared" si="3"/>
        <v>0</v>
      </c>
      <c r="P30" s="12">
        <f t="shared" si="4"/>
        <v>16140</v>
      </c>
      <c r="S30" s="14" t="s">
        <v>39</v>
      </c>
      <c r="T30" s="14" t="str">
        <f t="shared" si="6"/>
        <v>Saurabh</v>
      </c>
    </row>
    <row r="31" ht="12.75" customHeight="1">
      <c r="A31" s="3" t="s">
        <v>116</v>
      </c>
      <c r="B31" s="3" t="s">
        <v>105</v>
      </c>
      <c r="C31" s="3" t="s">
        <v>76</v>
      </c>
      <c r="D31" s="3" t="s">
        <v>24</v>
      </c>
      <c r="E31" s="3" t="s">
        <v>46</v>
      </c>
      <c r="F31" s="3" t="s">
        <v>21</v>
      </c>
      <c r="G31" s="3" t="s">
        <v>11</v>
      </c>
      <c r="H31" s="3">
        <v>7779.0</v>
      </c>
      <c r="I31" s="3" t="s">
        <v>37</v>
      </c>
      <c r="J31" s="3">
        <v>0.1</v>
      </c>
      <c r="K31" s="3">
        <v>9000.0</v>
      </c>
      <c r="L31" s="15" t="s">
        <v>234</v>
      </c>
      <c r="M31" s="3" t="str">
        <f t="shared" si="1"/>
        <v>Below Target</v>
      </c>
      <c r="N31" s="10">
        <f t="shared" si="2"/>
        <v>0.5174897119</v>
      </c>
      <c r="O31" s="11">
        <f t="shared" si="3"/>
        <v>0.1</v>
      </c>
      <c r="P31" s="12">
        <f t="shared" si="4"/>
        <v>7001.1</v>
      </c>
      <c r="S31" s="14" t="s">
        <v>43</v>
      </c>
      <c r="T31" s="14" t="str">
        <f t="shared" si="6"/>
        <v>Saurabh</v>
      </c>
    </row>
    <row r="32" ht="12.75" customHeight="1">
      <c r="A32" s="3" t="s">
        <v>118</v>
      </c>
      <c r="B32" s="3" t="s">
        <v>119</v>
      </c>
      <c r="C32" s="3" t="s">
        <v>45</v>
      </c>
      <c r="D32" s="3" t="s">
        <v>22</v>
      </c>
      <c r="E32" s="3" t="s">
        <v>58</v>
      </c>
      <c r="F32" s="3" t="s">
        <v>21</v>
      </c>
      <c r="G32" s="3" t="s">
        <v>11</v>
      </c>
      <c r="H32" s="3">
        <v>18538.0</v>
      </c>
      <c r="I32" s="3" t="s">
        <v>37</v>
      </c>
      <c r="J32" s="3">
        <v>0.1</v>
      </c>
      <c r="K32" s="3">
        <v>17000.0</v>
      </c>
      <c r="L32" s="3" t="s">
        <v>238</v>
      </c>
      <c r="M32" s="3" t="str">
        <f t="shared" si="1"/>
        <v>Target Achieved</v>
      </c>
      <c r="N32" s="10">
        <f t="shared" si="2"/>
        <v>0.5180226571</v>
      </c>
      <c r="O32" s="11">
        <f t="shared" si="3"/>
        <v>0.1</v>
      </c>
      <c r="P32" s="12">
        <f t="shared" si="4"/>
        <v>16684.2</v>
      </c>
      <c r="S32" s="14" t="s">
        <v>48</v>
      </c>
      <c r="T32" s="14" t="str">
        <f t="shared" si="6"/>
        <v>Saurabh</v>
      </c>
    </row>
    <row r="33" ht="12.75" customHeight="1">
      <c r="A33" s="3" t="s">
        <v>121</v>
      </c>
      <c r="B33" s="3" t="s">
        <v>122</v>
      </c>
      <c r="C33" s="3" t="s">
        <v>18</v>
      </c>
      <c r="D33" s="3" t="s">
        <v>16</v>
      </c>
      <c r="E33" s="3" t="s">
        <v>46</v>
      </c>
      <c r="F33" s="3" t="s">
        <v>21</v>
      </c>
      <c r="G33" s="3" t="s">
        <v>12</v>
      </c>
      <c r="H33" s="3">
        <v>13389.0</v>
      </c>
      <c r="I33" s="3" t="s">
        <v>37</v>
      </c>
      <c r="J33" s="3">
        <v>0.1</v>
      </c>
      <c r="K33" s="3">
        <v>14000.0</v>
      </c>
      <c r="L33" s="3" t="s">
        <v>245</v>
      </c>
      <c r="M33" s="3" t="str">
        <f t="shared" si="1"/>
        <v>Below Target</v>
      </c>
      <c r="N33" s="10">
        <f t="shared" si="2"/>
        <v>0.5175257732</v>
      </c>
      <c r="O33" s="11">
        <f t="shared" si="3"/>
        <v>0.1</v>
      </c>
      <c r="P33" s="12">
        <f t="shared" si="4"/>
        <v>12050.1</v>
      </c>
    </row>
    <row r="34" ht="12.75" customHeight="1">
      <c r="A34" s="3" t="s">
        <v>124</v>
      </c>
      <c r="B34" s="3" t="s">
        <v>125</v>
      </c>
      <c r="C34" s="3" t="s">
        <v>76</v>
      </c>
      <c r="D34" s="3" t="s">
        <v>24</v>
      </c>
      <c r="E34" s="3" t="s">
        <v>46</v>
      </c>
      <c r="F34" s="3" t="s">
        <v>21</v>
      </c>
      <c r="G34" s="3" t="s">
        <v>13</v>
      </c>
      <c r="H34" s="3">
        <v>8140.0</v>
      </c>
      <c r="K34" s="3">
        <v>9000.0</v>
      </c>
      <c r="L34" s="3" t="s">
        <v>245</v>
      </c>
      <c r="M34" s="3" t="str">
        <f t="shared" si="1"/>
        <v>Below Target</v>
      </c>
      <c r="N34" s="10">
        <f t="shared" si="2"/>
        <v>0.5180598555</v>
      </c>
      <c r="O34" s="11">
        <f t="shared" si="3"/>
        <v>0</v>
      </c>
      <c r="P34" s="12">
        <f t="shared" si="4"/>
        <v>8140</v>
      </c>
    </row>
    <row r="35" ht="12.75" customHeight="1">
      <c r="A35" s="3" t="s">
        <v>126</v>
      </c>
      <c r="B35" s="3" t="s">
        <v>127</v>
      </c>
      <c r="C35" s="3" t="s">
        <v>76</v>
      </c>
      <c r="D35" s="3" t="s">
        <v>24</v>
      </c>
      <c r="E35" s="3" t="s">
        <v>20</v>
      </c>
      <c r="F35" s="3" t="s">
        <v>41</v>
      </c>
      <c r="G35" s="3" t="s">
        <v>13</v>
      </c>
      <c r="H35" s="3">
        <v>9671.0</v>
      </c>
      <c r="I35" s="3" t="s">
        <v>42</v>
      </c>
      <c r="K35" s="3">
        <v>9000.0</v>
      </c>
      <c r="L35" s="3" t="s">
        <v>106</v>
      </c>
      <c r="M35" s="3" t="str">
        <f t="shared" si="1"/>
        <v>Target Achieved</v>
      </c>
      <c r="N35" s="10">
        <f t="shared" si="2"/>
        <v>0.5185950413</v>
      </c>
      <c r="O35" s="11" t="str">
        <f t="shared" si="3"/>
        <v/>
      </c>
      <c r="P35" s="12">
        <f t="shared" si="4"/>
        <v>8220.35</v>
      </c>
      <c r="S35" s="8" t="s">
        <v>258</v>
      </c>
    </row>
    <row r="36" ht="12.75" customHeight="1">
      <c r="A36" s="3" t="s">
        <v>129</v>
      </c>
      <c r="B36" s="3" t="s">
        <v>100</v>
      </c>
      <c r="C36" s="3" t="s">
        <v>57</v>
      </c>
      <c r="D36" s="3" t="s">
        <v>19</v>
      </c>
      <c r="E36" s="3" t="s">
        <v>46</v>
      </c>
      <c r="F36" s="3" t="s">
        <v>21</v>
      </c>
      <c r="G36" s="3" t="s">
        <v>11</v>
      </c>
      <c r="H36" s="3">
        <v>12971.0</v>
      </c>
      <c r="I36" s="3" t="s">
        <v>23</v>
      </c>
      <c r="J36" s="3">
        <v>0.2</v>
      </c>
      <c r="K36" s="3">
        <v>13000.0</v>
      </c>
      <c r="L36" s="3" t="s">
        <v>139</v>
      </c>
      <c r="M36" s="3" t="str">
        <f t="shared" si="1"/>
        <v>Below Target</v>
      </c>
      <c r="N36" s="10">
        <f t="shared" si="2"/>
        <v>0.5180972079</v>
      </c>
      <c r="O36" s="11">
        <f t="shared" si="3"/>
        <v>0.2</v>
      </c>
      <c r="P36" s="12">
        <f t="shared" si="4"/>
        <v>10376.8</v>
      </c>
      <c r="S36" s="8" t="s">
        <v>264</v>
      </c>
    </row>
    <row r="37" ht="12.75" customHeight="1">
      <c r="A37" s="3" t="s">
        <v>131</v>
      </c>
      <c r="B37" s="3" t="s">
        <v>132</v>
      </c>
      <c r="C37" s="3" t="s">
        <v>57</v>
      </c>
      <c r="D37" s="3" t="s">
        <v>19</v>
      </c>
      <c r="E37" s="3" t="s">
        <v>58</v>
      </c>
      <c r="F37" s="3" t="s">
        <v>41</v>
      </c>
      <c r="G37" s="3" t="s">
        <v>11</v>
      </c>
      <c r="H37" s="3">
        <v>12086.0</v>
      </c>
      <c r="K37" s="3">
        <v>13000.0</v>
      </c>
      <c r="L37" s="3" t="s">
        <v>268</v>
      </c>
      <c r="M37" s="3" t="str">
        <f t="shared" si="1"/>
        <v>Below Target</v>
      </c>
      <c r="N37" s="10">
        <f t="shared" si="2"/>
        <v>0.5186335404</v>
      </c>
      <c r="O37" s="11">
        <f t="shared" si="3"/>
        <v>0</v>
      </c>
      <c r="P37" s="12">
        <f t="shared" si="4"/>
        <v>12086</v>
      </c>
      <c r="S37" s="20" t="s">
        <v>270</v>
      </c>
      <c r="T37" s="20" t="s">
        <v>8</v>
      </c>
    </row>
    <row r="38" ht="12.75" customHeight="1">
      <c r="A38" s="3" t="s">
        <v>133</v>
      </c>
      <c r="B38" s="3" t="s">
        <v>134</v>
      </c>
      <c r="C38" s="3" t="s">
        <v>76</v>
      </c>
      <c r="D38" s="3" t="s">
        <v>24</v>
      </c>
      <c r="E38" s="3" t="s">
        <v>46</v>
      </c>
      <c r="F38" s="3" t="s">
        <v>41</v>
      </c>
      <c r="G38" s="3" t="s">
        <v>11</v>
      </c>
      <c r="H38" s="3">
        <v>7891.0</v>
      </c>
      <c r="I38" s="3" t="s">
        <v>37</v>
      </c>
      <c r="J38" s="3">
        <v>0.1</v>
      </c>
      <c r="K38" s="3">
        <v>9000.0</v>
      </c>
      <c r="L38" s="15" t="s">
        <v>275</v>
      </c>
      <c r="M38" s="3" t="str">
        <f t="shared" si="1"/>
        <v>Below Target</v>
      </c>
      <c r="N38" s="10">
        <f t="shared" si="2"/>
        <v>0.5191709845</v>
      </c>
      <c r="O38" s="11">
        <f t="shared" si="3"/>
        <v>0.1</v>
      </c>
      <c r="P38" s="12">
        <f t="shared" si="4"/>
        <v>7101.9</v>
      </c>
      <c r="S38" s="14" t="s">
        <v>17</v>
      </c>
      <c r="T38" s="14" t="str">
        <f t="shared" ref="T38:T42" si="7">INDEX(G3:G1002,MATCH(S38,B3:B1002,0))</f>
        <v>Web</v>
      </c>
    </row>
    <row r="39" ht="12.75" customHeight="1">
      <c r="A39" s="3" t="s">
        <v>135</v>
      </c>
      <c r="B39" s="3" t="s">
        <v>136</v>
      </c>
      <c r="C39" s="3" t="s">
        <v>18</v>
      </c>
      <c r="D39" s="3" t="s">
        <v>16</v>
      </c>
      <c r="E39" s="3" t="s">
        <v>20</v>
      </c>
      <c r="F39" s="3" t="s">
        <v>21</v>
      </c>
      <c r="G39" s="3" t="s">
        <v>13</v>
      </c>
      <c r="H39" s="3">
        <v>12205.0</v>
      </c>
      <c r="I39" s="3" t="s">
        <v>42</v>
      </c>
      <c r="K39" s="3">
        <v>14000.0</v>
      </c>
      <c r="L39" s="3" t="s">
        <v>283</v>
      </c>
      <c r="M39" s="3" t="str">
        <f t="shared" si="1"/>
        <v>Below Target</v>
      </c>
      <c r="N39" s="10">
        <f t="shared" si="2"/>
        <v>0.5197095436</v>
      </c>
      <c r="O39" s="11" t="str">
        <f t="shared" si="3"/>
        <v/>
      </c>
      <c r="P39" s="12">
        <f t="shared" si="4"/>
        <v>10374.25</v>
      </c>
      <c r="S39" s="14" t="s">
        <v>36</v>
      </c>
      <c r="T39" s="14" t="str">
        <f t="shared" si="7"/>
        <v>Web</v>
      </c>
    </row>
    <row r="40" ht="12.75" customHeight="1">
      <c r="A40" s="3" t="s">
        <v>137</v>
      </c>
      <c r="B40" s="3" t="s">
        <v>138</v>
      </c>
      <c r="C40" s="3" t="s">
        <v>57</v>
      </c>
      <c r="D40" s="3" t="s">
        <v>19</v>
      </c>
      <c r="E40" s="3" t="s">
        <v>46</v>
      </c>
      <c r="F40" s="3" t="s">
        <v>52</v>
      </c>
      <c r="G40" s="3" t="s">
        <v>13</v>
      </c>
      <c r="H40" s="3">
        <v>14487.0</v>
      </c>
      <c r="I40" s="3" t="s">
        <v>23</v>
      </c>
      <c r="J40" s="3">
        <v>0.2</v>
      </c>
      <c r="K40" s="3">
        <v>13000.0</v>
      </c>
      <c r="L40" s="15" t="s">
        <v>109</v>
      </c>
      <c r="M40" s="3" t="str">
        <f t="shared" si="1"/>
        <v>Target Achieved</v>
      </c>
      <c r="N40" s="10">
        <f t="shared" si="2"/>
        <v>0.5202492212</v>
      </c>
      <c r="O40" s="11">
        <f t="shared" si="3"/>
        <v>0.2</v>
      </c>
      <c r="P40" s="12">
        <f t="shared" si="4"/>
        <v>11589.6</v>
      </c>
      <c r="S40" s="14" t="s">
        <v>40</v>
      </c>
      <c r="T40" s="14" t="str">
        <f t="shared" si="7"/>
        <v>Tablet</v>
      </c>
    </row>
    <row r="41" ht="12.75" customHeight="1">
      <c r="A41" s="3" t="s">
        <v>140</v>
      </c>
      <c r="B41" s="3" t="s">
        <v>141</v>
      </c>
      <c r="C41" s="3" t="s">
        <v>57</v>
      </c>
      <c r="D41" s="3" t="s">
        <v>19</v>
      </c>
      <c r="E41" s="3" t="s">
        <v>58</v>
      </c>
      <c r="F41" s="3" t="s">
        <v>41</v>
      </c>
      <c r="G41" s="3" t="s">
        <v>12</v>
      </c>
      <c r="H41" s="3">
        <v>12008.0</v>
      </c>
      <c r="I41" s="3" t="s">
        <v>42</v>
      </c>
      <c r="K41" s="3">
        <v>13000.0</v>
      </c>
      <c r="L41" s="15" t="s">
        <v>130</v>
      </c>
      <c r="M41" s="3" t="str">
        <f t="shared" si="1"/>
        <v>Below Target</v>
      </c>
      <c r="N41" s="10">
        <f t="shared" si="2"/>
        <v>0.5197505198</v>
      </c>
      <c r="O41" s="11" t="str">
        <f t="shared" si="3"/>
        <v/>
      </c>
      <c r="P41" s="12">
        <f t="shared" si="4"/>
        <v>10206.8</v>
      </c>
      <c r="S41" s="14" t="s">
        <v>44</v>
      </c>
      <c r="T41" s="14" t="str">
        <f t="shared" si="7"/>
        <v>Tablet</v>
      </c>
    </row>
    <row r="42" ht="12.75" customHeight="1">
      <c r="A42" s="3" t="s">
        <v>142</v>
      </c>
      <c r="B42" s="3" t="s">
        <v>143</v>
      </c>
      <c r="C42" s="3" t="s">
        <v>18</v>
      </c>
      <c r="D42" s="3" t="s">
        <v>16</v>
      </c>
      <c r="E42" s="3" t="s">
        <v>58</v>
      </c>
      <c r="F42" s="3" t="s">
        <v>52</v>
      </c>
      <c r="G42" s="3" t="s">
        <v>12</v>
      </c>
      <c r="H42" s="3">
        <v>14315.0</v>
      </c>
      <c r="I42" s="3" t="s">
        <v>42</v>
      </c>
      <c r="K42" s="3">
        <v>14000.0</v>
      </c>
      <c r="L42" s="3" t="s">
        <v>303</v>
      </c>
      <c r="M42" s="3" t="str">
        <f t="shared" si="1"/>
        <v>Target Achieved</v>
      </c>
      <c r="N42" s="10">
        <f t="shared" si="2"/>
        <v>0.5202913632</v>
      </c>
      <c r="O42" s="11" t="str">
        <f t="shared" si="3"/>
        <v/>
      </c>
      <c r="P42" s="12">
        <f t="shared" si="4"/>
        <v>12167.75</v>
      </c>
      <c r="S42" s="14" t="s">
        <v>49</v>
      </c>
      <c r="T42" s="14" t="str">
        <f t="shared" si="7"/>
        <v>Mobile</v>
      </c>
    </row>
    <row r="43" ht="12.75" customHeight="1">
      <c r="A43" s="3" t="s">
        <v>144</v>
      </c>
      <c r="B43" s="3" t="s">
        <v>145</v>
      </c>
      <c r="C43" s="3" t="s">
        <v>57</v>
      </c>
      <c r="D43" s="3" t="s">
        <v>19</v>
      </c>
      <c r="E43" s="3" t="s">
        <v>20</v>
      </c>
      <c r="F43" s="3" t="s">
        <v>52</v>
      </c>
      <c r="G43" s="3" t="s">
        <v>11</v>
      </c>
      <c r="H43" s="3">
        <v>11977.0</v>
      </c>
      <c r="I43" s="3" t="s">
        <v>47</v>
      </c>
      <c r="J43" s="3">
        <v>0.3</v>
      </c>
      <c r="K43" s="3">
        <v>13000.0</v>
      </c>
      <c r="L43" s="3" t="s">
        <v>314</v>
      </c>
      <c r="M43" s="3" t="str">
        <f t="shared" si="1"/>
        <v>Below Target</v>
      </c>
      <c r="N43" s="10">
        <f t="shared" si="2"/>
        <v>0.5197916667</v>
      </c>
      <c r="O43" s="11">
        <f t="shared" si="3"/>
        <v>0.3</v>
      </c>
      <c r="P43" s="12">
        <f t="shared" si="4"/>
        <v>8383.9</v>
      </c>
    </row>
    <row r="44" ht="12.75" customHeight="1">
      <c r="A44" s="3" t="s">
        <v>146</v>
      </c>
      <c r="B44" s="3" t="s">
        <v>148</v>
      </c>
      <c r="C44" s="3" t="s">
        <v>45</v>
      </c>
      <c r="D44" s="3" t="s">
        <v>22</v>
      </c>
      <c r="E44" s="3" t="s">
        <v>58</v>
      </c>
      <c r="F44" s="3" t="s">
        <v>21</v>
      </c>
      <c r="G44" s="3" t="s">
        <v>13</v>
      </c>
      <c r="H44" s="3">
        <v>15038.0</v>
      </c>
      <c r="K44" s="3">
        <v>17000.0</v>
      </c>
      <c r="L44" s="15" t="s">
        <v>322</v>
      </c>
      <c r="M44" s="3" t="str">
        <f t="shared" si="1"/>
        <v>Below Target</v>
      </c>
      <c r="N44" s="10">
        <f t="shared" si="2"/>
        <v>0.5203336809</v>
      </c>
      <c r="O44" s="11">
        <f t="shared" si="3"/>
        <v>0</v>
      </c>
      <c r="P44" s="12">
        <f t="shared" si="4"/>
        <v>15038</v>
      </c>
    </row>
    <row r="45" ht="12.75" customHeight="1">
      <c r="A45" s="3" t="s">
        <v>149</v>
      </c>
      <c r="B45" s="3" t="s">
        <v>141</v>
      </c>
      <c r="C45" s="3" t="s">
        <v>18</v>
      </c>
      <c r="D45" s="3" t="s">
        <v>16</v>
      </c>
      <c r="E45" s="3" t="s">
        <v>20</v>
      </c>
      <c r="F45" s="3" t="s">
        <v>41</v>
      </c>
      <c r="G45" s="3" t="s">
        <v>12</v>
      </c>
      <c r="H45" s="3">
        <v>13086.0</v>
      </c>
      <c r="I45" s="3" t="s">
        <v>23</v>
      </c>
      <c r="J45" s="3">
        <v>0.2</v>
      </c>
      <c r="K45" s="3">
        <v>14000.0</v>
      </c>
      <c r="L45" s="3" t="s">
        <v>80</v>
      </c>
      <c r="M45" s="3" t="str">
        <f t="shared" si="1"/>
        <v>Below Target</v>
      </c>
      <c r="N45" s="10">
        <f t="shared" si="2"/>
        <v>0.5208768267</v>
      </c>
      <c r="O45" s="11">
        <f t="shared" si="3"/>
        <v>0.2</v>
      </c>
      <c r="P45" s="12">
        <f t="shared" si="4"/>
        <v>10468.8</v>
      </c>
    </row>
    <row r="46" ht="12.75" customHeight="1">
      <c r="A46" s="3" t="s">
        <v>151</v>
      </c>
      <c r="B46" s="3" t="s">
        <v>152</v>
      </c>
      <c r="C46" s="3" t="s">
        <v>57</v>
      </c>
      <c r="D46" s="3" t="s">
        <v>19</v>
      </c>
      <c r="E46" s="3" t="s">
        <v>58</v>
      </c>
      <c r="F46" s="3" t="s">
        <v>21</v>
      </c>
      <c r="G46" s="3" t="s">
        <v>13</v>
      </c>
      <c r="H46" s="3">
        <v>12794.0</v>
      </c>
      <c r="I46" s="3" t="s">
        <v>42</v>
      </c>
      <c r="K46" s="3">
        <v>13000.0</v>
      </c>
      <c r="L46" s="3" t="s">
        <v>83</v>
      </c>
      <c r="M46" s="3" t="str">
        <f t="shared" si="1"/>
        <v>Below Target</v>
      </c>
      <c r="N46" s="10">
        <f t="shared" si="2"/>
        <v>0.5214211076</v>
      </c>
      <c r="O46" s="11" t="str">
        <f t="shared" si="3"/>
        <v/>
      </c>
      <c r="P46" s="12">
        <f t="shared" si="4"/>
        <v>10874.9</v>
      </c>
    </row>
    <row r="47" ht="12.75" customHeight="1">
      <c r="A47" s="3" t="s">
        <v>153</v>
      </c>
      <c r="B47" s="3" t="s">
        <v>154</v>
      </c>
      <c r="C47" s="3" t="s">
        <v>18</v>
      </c>
      <c r="D47" s="3" t="s">
        <v>16</v>
      </c>
      <c r="E47" s="3" t="s">
        <v>20</v>
      </c>
      <c r="F47" s="3" t="s">
        <v>52</v>
      </c>
      <c r="G47" s="3" t="s">
        <v>11</v>
      </c>
      <c r="H47" s="3">
        <v>15816.0</v>
      </c>
      <c r="I47" s="3" t="s">
        <v>37</v>
      </c>
      <c r="J47" s="3">
        <v>0.1</v>
      </c>
      <c r="K47" s="3">
        <v>14000.0</v>
      </c>
      <c r="L47" s="15" t="s">
        <v>183</v>
      </c>
      <c r="M47" s="3" t="str">
        <f t="shared" si="1"/>
        <v>Target Achieved</v>
      </c>
      <c r="N47" s="10">
        <f t="shared" si="2"/>
        <v>0.5219665272</v>
      </c>
      <c r="O47" s="11">
        <f t="shared" si="3"/>
        <v>0.1</v>
      </c>
      <c r="P47" s="12">
        <f t="shared" si="4"/>
        <v>14234.4</v>
      </c>
      <c r="S47" s="8" t="s">
        <v>357</v>
      </c>
    </row>
    <row r="48" ht="12.75" customHeight="1">
      <c r="A48" s="3" t="s">
        <v>156</v>
      </c>
      <c r="B48" s="3" t="s">
        <v>157</v>
      </c>
      <c r="C48" s="3" t="s">
        <v>45</v>
      </c>
      <c r="D48" s="3" t="s">
        <v>22</v>
      </c>
      <c r="E48" s="3" t="s">
        <v>46</v>
      </c>
      <c r="F48" s="3" t="s">
        <v>41</v>
      </c>
      <c r="G48" s="3" t="s">
        <v>12</v>
      </c>
      <c r="H48" s="3">
        <v>17266.0</v>
      </c>
      <c r="I48" s="3" t="s">
        <v>23</v>
      </c>
      <c r="J48" s="3">
        <v>0.2</v>
      </c>
      <c r="K48" s="3">
        <v>17000.0</v>
      </c>
      <c r="L48" s="3" t="s">
        <v>73</v>
      </c>
      <c r="M48" s="3" t="str">
        <f t="shared" si="1"/>
        <v>Target Achieved</v>
      </c>
      <c r="N48" s="10">
        <f t="shared" si="2"/>
        <v>0.5214659686</v>
      </c>
      <c r="O48" s="11">
        <f t="shared" si="3"/>
        <v>0.2</v>
      </c>
      <c r="P48" s="12">
        <f t="shared" si="4"/>
        <v>13812.8</v>
      </c>
      <c r="S48" s="18" t="s">
        <v>363</v>
      </c>
      <c r="T48" s="22">
        <f>sum(H3:H1002)</f>
        <v>13395293</v>
      </c>
    </row>
    <row r="49" ht="12.75" customHeight="1">
      <c r="A49" s="3" t="s">
        <v>158</v>
      </c>
      <c r="B49" s="3" t="s">
        <v>154</v>
      </c>
      <c r="C49" s="3" t="s">
        <v>57</v>
      </c>
      <c r="D49" s="3" t="s">
        <v>19</v>
      </c>
      <c r="E49" s="3" t="s">
        <v>20</v>
      </c>
      <c r="F49" s="3" t="s">
        <v>21</v>
      </c>
      <c r="G49" s="3" t="s">
        <v>13</v>
      </c>
      <c r="H49" s="3">
        <v>13815.0</v>
      </c>
      <c r="I49" s="3" t="s">
        <v>47</v>
      </c>
      <c r="J49" s="3">
        <v>0.3</v>
      </c>
      <c r="K49" s="3">
        <v>13000.0</v>
      </c>
      <c r="L49" s="15" t="s">
        <v>155</v>
      </c>
      <c r="M49" s="3" t="str">
        <f t="shared" si="1"/>
        <v>Target Achieved</v>
      </c>
      <c r="N49" s="10">
        <f t="shared" si="2"/>
        <v>0.5209643606</v>
      </c>
      <c r="O49" s="11">
        <f t="shared" si="3"/>
        <v>0.3</v>
      </c>
      <c r="P49" s="12">
        <f t="shared" si="4"/>
        <v>9670.5</v>
      </c>
      <c r="S49" s="18" t="s">
        <v>375</v>
      </c>
      <c r="T49" s="23">
        <f>sum(P3:P1002)</f>
        <v>11354117.5</v>
      </c>
    </row>
    <row r="50" ht="12.75" customHeight="1">
      <c r="A50" s="3" t="s">
        <v>159</v>
      </c>
      <c r="B50" s="3" t="s">
        <v>160</v>
      </c>
      <c r="C50" s="3" t="s">
        <v>18</v>
      </c>
      <c r="D50" s="3" t="s">
        <v>16</v>
      </c>
      <c r="E50" s="3" t="s">
        <v>46</v>
      </c>
      <c r="F50" s="3" t="s">
        <v>52</v>
      </c>
      <c r="G50" s="3" t="s">
        <v>11</v>
      </c>
      <c r="H50" s="3">
        <v>15397.0</v>
      </c>
      <c r="I50" s="3" t="s">
        <v>47</v>
      </c>
      <c r="J50" s="3">
        <v>0.3</v>
      </c>
      <c r="K50" s="3">
        <v>14000.0</v>
      </c>
      <c r="L50" s="15" t="s">
        <v>341</v>
      </c>
      <c r="M50" s="3" t="str">
        <f t="shared" si="1"/>
        <v>Target Achieved</v>
      </c>
      <c r="N50" s="10">
        <f t="shared" si="2"/>
        <v>0.5204616999</v>
      </c>
      <c r="O50" s="11">
        <f t="shared" si="3"/>
        <v>0.3</v>
      </c>
      <c r="P50" s="12">
        <f t="shared" si="4"/>
        <v>10777.9</v>
      </c>
      <c r="S50" s="8" t="s">
        <v>383</v>
      </c>
      <c r="T50" s="23">
        <f>sum(H3:H1002)-sum(P3:P1002)</f>
        <v>2041175.5</v>
      </c>
    </row>
    <row r="51" ht="12.75" customHeight="1">
      <c r="A51" s="3" t="s">
        <v>162</v>
      </c>
      <c r="B51" s="3" t="s">
        <v>163</v>
      </c>
      <c r="C51" s="3" t="s">
        <v>57</v>
      </c>
      <c r="D51" s="3" t="s">
        <v>19</v>
      </c>
      <c r="E51" s="3" t="s">
        <v>20</v>
      </c>
      <c r="F51" s="3" t="s">
        <v>21</v>
      </c>
      <c r="G51" s="3" t="s">
        <v>13</v>
      </c>
      <c r="H51" s="3">
        <v>14036.0</v>
      </c>
      <c r="K51" s="3">
        <v>13000.0</v>
      </c>
      <c r="L51" s="15" t="s">
        <v>349</v>
      </c>
      <c r="M51" s="3" t="str">
        <f t="shared" si="1"/>
        <v>Target Achieved</v>
      </c>
      <c r="N51" s="10">
        <f t="shared" si="2"/>
        <v>0.5199579832</v>
      </c>
      <c r="O51" s="11">
        <f t="shared" si="3"/>
        <v>0</v>
      </c>
      <c r="P51" s="12">
        <f t="shared" si="4"/>
        <v>14036</v>
      </c>
    </row>
    <row r="52" ht="12.75" customHeight="1">
      <c r="A52" s="3" t="s">
        <v>165</v>
      </c>
      <c r="B52" s="3" t="s">
        <v>166</v>
      </c>
      <c r="C52" s="3" t="s">
        <v>18</v>
      </c>
      <c r="D52" s="3" t="s">
        <v>16</v>
      </c>
      <c r="E52" s="3" t="s">
        <v>46</v>
      </c>
      <c r="F52" s="3" t="s">
        <v>41</v>
      </c>
      <c r="G52" s="3" t="s">
        <v>12</v>
      </c>
      <c r="H52" s="3">
        <v>15702.0</v>
      </c>
      <c r="I52" s="3" t="s">
        <v>23</v>
      </c>
      <c r="J52" s="3">
        <v>0.2</v>
      </c>
      <c r="K52" s="3">
        <v>14000.0</v>
      </c>
      <c r="L52" s="15" t="s">
        <v>348</v>
      </c>
      <c r="M52" s="3" t="str">
        <f t="shared" si="1"/>
        <v>Target Achieved</v>
      </c>
      <c r="N52" s="10">
        <f t="shared" si="2"/>
        <v>0.5194532072</v>
      </c>
      <c r="O52" s="11">
        <f t="shared" si="3"/>
        <v>0.2</v>
      </c>
      <c r="P52" s="12">
        <f t="shared" si="4"/>
        <v>12561.6</v>
      </c>
      <c r="S52" s="8" t="s">
        <v>394</v>
      </c>
    </row>
    <row r="53" ht="12.75" customHeight="1">
      <c r="A53" s="3" t="s">
        <v>167</v>
      </c>
      <c r="B53" s="3" t="s">
        <v>168</v>
      </c>
      <c r="C53" s="3" t="s">
        <v>45</v>
      </c>
      <c r="D53" s="3" t="s">
        <v>22</v>
      </c>
      <c r="E53" s="3" t="s">
        <v>20</v>
      </c>
      <c r="F53" s="3" t="s">
        <v>52</v>
      </c>
      <c r="G53" s="3" t="s">
        <v>13</v>
      </c>
      <c r="H53" s="3">
        <v>16760.0</v>
      </c>
      <c r="I53" s="3" t="s">
        <v>23</v>
      </c>
      <c r="J53" s="3">
        <v>0.2</v>
      </c>
      <c r="K53" s="3">
        <v>17000.0</v>
      </c>
      <c r="L53" s="15" t="s">
        <v>341</v>
      </c>
      <c r="M53" s="3" t="str">
        <f t="shared" si="1"/>
        <v>Below Target</v>
      </c>
      <c r="N53" s="10">
        <f t="shared" si="2"/>
        <v>0.5189473684</v>
      </c>
      <c r="O53" s="11">
        <f t="shared" si="3"/>
        <v>0.2</v>
      </c>
      <c r="P53" s="12">
        <f t="shared" si="4"/>
        <v>13408</v>
      </c>
      <c r="S53" s="18" t="s">
        <v>401</v>
      </c>
    </row>
    <row r="54" ht="12.75" customHeight="1">
      <c r="A54" s="3" t="s">
        <v>169</v>
      </c>
      <c r="B54" s="3" t="s">
        <v>170</v>
      </c>
      <c r="C54" s="3" t="s">
        <v>18</v>
      </c>
      <c r="D54" s="3" t="s">
        <v>16</v>
      </c>
      <c r="E54" s="3" t="s">
        <v>58</v>
      </c>
      <c r="F54" s="3" t="s">
        <v>41</v>
      </c>
      <c r="G54" s="3" t="s">
        <v>12</v>
      </c>
      <c r="H54" s="3">
        <v>13022.0</v>
      </c>
      <c r="I54" s="3" t="s">
        <v>37</v>
      </c>
      <c r="J54" s="3">
        <v>0.1</v>
      </c>
      <c r="K54" s="3">
        <v>14000.0</v>
      </c>
      <c r="L54" s="3" t="s">
        <v>334</v>
      </c>
      <c r="M54" s="3" t="str">
        <f t="shared" si="1"/>
        <v>Below Target</v>
      </c>
      <c r="N54" s="10">
        <f t="shared" si="2"/>
        <v>0.5194942044</v>
      </c>
      <c r="O54" s="11">
        <f t="shared" si="3"/>
        <v>0.1</v>
      </c>
      <c r="P54" s="12">
        <f t="shared" si="4"/>
        <v>11719.8</v>
      </c>
      <c r="T54" s="24">
        <f>COUNTIFS(D3:D1002,"Data Analytics",G3:G1002,"Web")</f>
        <v>65</v>
      </c>
    </row>
    <row r="55" ht="12.75" customHeight="1">
      <c r="A55" s="3" t="s">
        <v>171</v>
      </c>
      <c r="B55" s="3" t="s">
        <v>172</v>
      </c>
      <c r="C55" s="3" t="s">
        <v>76</v>
      </c>
      <c r="D55" s="3" t="s">
        <v>24</v>
      </c>
      <c r="E55" s="3" t="s">
        <v>20</v>
      </c>
      <c r="F55" s="3" t="s">
        <v>52</v>
      </c>
      <c r="G55" s="3" t="s">
        <v>13</v>
      </c>
      <c r="H55" s="3">
        <v>10791.0</v>
      </c>
      <c r="I55" s="3" t="s">
        <v>23</v>
      </c>
      <c r="J55" s="3">
        <v>0.2</v>
      </c>
      <c r="K55" s="3">
        <v>9000.0</v>
      </c>
      <c r="L55" s="3" t="s">
        <v>139</v>
      </c>
      <c r="M55" s="3" t="str">
        <f t="shared" si="1"/>
        <v>Target Achieved</v>
      </c>
      <c r="N55" s="10">
        <f t="shared" si="2"/>
        <v>0.5200421941</v>
      </c>
      <c r="O55" s="11">
        <f t="shared" si="3"/>
        <v>0.2</v>
      </c>
      <c r="P55" s="12">
        <f t="shared" si="4"/>
        <v>8632.8</v>
      </c>
    </row>
    <row r="56" ht="12.75" customHeight="1">
      <c r="A56" s="3" t="s">
        <v>173</v>
      </c>
      <c r="B56" s="3" t="s">
        <v>174</v>
      </c>
      <c r="C56" s="3" t="s">
        <v>57</v>
      </c>
      <c r="D56" s="3" t="s">
        <v>19</v>
      </c>
      <c r="E56" s="3" t="s">
        <v>58</v>
      </c>
      <c r="F56" s="3" t="s">
        <v>41</v>
      </c>
      <c r="G56" s="3" t="s">
        <v>13</v>
      </c>
      <c r="H56" s="3">
        <v>14016.0</v>
      </c>
      <c r="I56" s="3" t="s">
        <v>47</v>
      </c>
      <c r="J56" s="3">
        <v>0.3</v>
      </c>
      <c r="K56" s="3">
        <v>13000.0</v>
      </c>
      <c r="L56" s="3" t="s">
        <v>328</v>
      </c>
      <c r="M56" s="3" t="str">
        <f t="shared" si="1"/>
        <v>Target Achieved</v>
      </c>
      <c r="N56" s="10">
        <f t="shared" si="2"/>
        <v>0.5195353749</v>
      </c>
      <c r="O56" s="11">
        <f t="shared" si="3"/>
        <v>0.3</v>
      </c>
      <c r="P56" s="12">
        <f t="shared" si="4"/>
        <v>9811.2</v>
      </c>
    </row>
    <row r="57" ht="12.75" customHeight="1">
      <c r="A57" s="3" t="s">
        <v>175</v>
      </c>
      <c r="B57" s="3" t="s">
        <v>176</v>
      </c>
      <c r="C57" s="3" t="s">
        <v>57</v>
      </c>
      <c r="D57" s="3" t="s">
        <v>19</v>
      </c>
      <c r="E57" s="3" t="s">
        <v>58</v>
      </c>
      <c r="F57" s="3" t="s">
        <v>41</v>
      </c>
      <c r="G57" s="3" t="s">
        <v>12</v>
      </c>
      <c r="H57" s="3">
        <v>11442.0</v>
      </c>
      <c r="K57" s="3">
        <v>13000.0</v>
      </c>
      <c r="L57" s="3" t="s">
        <v>139</v>
      </c>
      <c r="M57" s="3" t="str">
        <f t="shared" si="1"/>
        <v>Below Target</v>
      </c>
      <c r="N57" s="10">
        <f t="shared" si="2"/>
        <v>0.5190274841</v>
      </c>
      <c r="O57" s="11">
        <f t="shared" si="3"/>
        <v>0</v>
      </c>
      <c r="P57" s="12">
        <f t="shared" si="4"/>
        <v>11442</v>
      </c>
    </row>
    <row r="58" ht="12.75" customHeight="1">
      <c r="A58" s="3" t="s">
        <v>178</v>
      </c>
      <c r="B58" s="3" t="s">
        <v>168</v>
      </c>
      <c r="C58" s="3" t="s">
        <v>76</v>
      </c>
      <c r="D58" s="3" t="s">
        <v>24</v>
      </c>
      <c r="E58" s="3" t="s">
        <v>46</v>
      </c>
      <c r="F58" s="3" t="s">
        <v>41</v>
      </c>
      <c r="G58" s="3" t="s">
        <v>11</v>
      </c>
      <c r="H58" s="3">
        <v>8432.0</v>
      </c>
      <c r="I58" s="3" t="s">
        <v>47</v>
      </c>
      <c r="J58" s="3">
        <v>0.3</v>
      </c>
      <c r="K58" s="3">
        <v>9000.0</v>
      </c>
      <c r="L58" s="3" t="s">
        <v>333</v>
      </c>
      <c r="M58" s="3" t="str">
        <f t="shared" si="1"/>
        <v>Below Target</v>
      </c>
      <c r="N58" s="10">
        <f t="shared" si="2"/>
        <v>0.5195767196</v>
      </c>
      <c r="O58" s="11">
        <f t="shared" si="3"/>
        <v>0.3</v>
      </c>
      <c r="P58" s="12">
        <f t="shared" si="4"/>
        <v>5902.4</v>
      </c>
      <c r="S58" s="8" t="s">
        <v>422</v>
      </c>
    </row>
    <row r="59" ht="12.75" customHeight="1">
      <c r="A59" s="3" t="s">
        <v>179</v>
      </c>
      <c r="B59" s="3" t="s">
        <v>180</v>
      </c>
      <c r="C59" s="3" t="s">
        <v>57</v>
      </c>
      <c r="D59" s="3" t="s">
        <v>19</v>
      </c>
      <c r="E59" s="3" t="s">
        <v>46</v>
      </c>
      <c r="F59" s="3" t="s">
        <v>41</v>
      </c>
      <c r="G59" s="3" t="s">
        <v>12</v>
      </c>
      <c r="H59" s="3">
        <v>11791.0</v>
      </c>
      <c r="K59" s="3">
        <v>13000.0</v>
      </c>
      <c r="L59" s="3" t="s">
        <v>332</v>
      </c>
      <c r="M59" s="3" t="str">
        <f t="shared" si="1"/>
        <v>Below Target</v>
      </c>
      <c r="N59" s="10">
        <f t="shared" si="2"/>
        <v>0.5201271186</v>
      </c>
      <c r="O59" s="11">
        <f t="shared" si="3"/>
        <v>0</v>
      </c>
      <c r="P59" s="12">
        <f t="shared" si="4"/>
        <v>11791</v>
      </c>
    </row>
    <row r="60" ht="12.75" customHeight="1">
      <c r="A60" s="3" t="s">
        <v>181</v>
      </c>
      <c r="B60" s="3" t="s">
        <v>182</v>
      </c>
      <c r="C60" s="3" t="s">
        <v>18</v>
      </c>
      <c r="D60" s="3" t="s">
        <v>16</v>
      </c>
      <c r="E60" s="3" t="s">
        <v>58</v>
      </c>
      <c r="F60" s="3" t="s">
        <v>21</v>
      </c>
      <c r="G60" s="3" t="s">
        <v>12</v>
      </c>
      <c r="H60" s="3">
        <v>14086.0</v>
      </c>
      <c r="K60" s="3">
        <v>14000.0</v>
      </c>
      <c r="L60" s="3" t="s">
        <v>238</v>
      </c>
      <c r="M60" s="3" t="str">
        <f t="shared" si="1"/>
        <v>Target Achieved</v>
      </c>
      <c r="N60" s="10">
        <f t="shared" si="2"/>
        <v>0.520678685</v>
      </c>
      <c r="O60" s="11">
        <f t="shared" si="3"/>
        <v>0</v>
      </c>
      <c r="P60" s="12">
        <f t="shared" si="4"/>
        <v>14086</v>
      </c>
    </row>
    <row r="61" ht="12.75" customHeight="1">
      <c r="A61" s="3" t="s">
        <v>184</v>
      </c>
      <c r="B61" s="3" t="s">
        <v>185</v>
      </c>
      <c r="C61" s="3" t="s">
        <v>45</v>
      </c>
      <c r="D61" s="3" t="s">
        <v>22</v>
      </c>
      <c r="E61" s="3" t="s">
        <v>46</v>
      </c>
      <c r="F61" s="3" t="s">
        <v>41</v>
      </c>
      <c r="G61" s="3" t="s">
        <v>11</v>
      </c>
      <c r="H61" s="3">
        <v>15731.0</v>
      </c>
      <c r="I61" s="3" t="s">
        <v>42</v>
      </c>
      <c r="K61" s="3">
        <v>17000.0</v>
      </c>
      <c r="L61" s="3" t="s">
        <v>320</v>
      </c>
      <c r="M61" s="3" t="str">
        <f t="shared" si="1"/>
        <v>Below Target</v>
      </c>
      <c r="N61" s="10">
        <f t="shared" si="2"/>
        <v>0.5201698514</v>
      </c>
      <c r="O61" s="11" t="str">
        <f t="shared" si="3"/>
        <v/>
      </c>
      <c r="P61" s="12">
        <f t="shared" si="4"/>
        <v>13371.35</v>
      </c>
    </row>
    <row r="62" ht="12.75" customHeight="1">
      <c r="A62" s="3" t="s">
        <v>186</v>
      </c>
      <c r="B62" s="3" t="s">
        <v>100</v>
      </c>
      <c r="C62" s="3" t="s">
        <v>76</v>
      </c>
      <c r="D62" s="3" t="s">
        <v>24</v>
      </c>
      <c r="E62" s="3" t="s">
        <v>58</v>
      </c>
      <c r="F62" s="3" t="s">
        <v>52</v>
      </c>
      <c r="G62" s="3" t="s">
        <v>11</v>
      </c>
      <c r="H62" s="3">
        <v>8787.0</v>
      </c>
      <c r="I62" s="3" t="s">
        <v>42</v>
      </c>
      <c r="K62" s="3">
        <v>9000.0</v>
      </c>
      <c r="L62" s="15" t="s">
        <v>155</v>
      </c>
      <c r="M62" s="3" t="str">
        <f t="shared" si="1"/>
        <v>Below Target</v>
      </c>
      <c r="N62" s="10">
        <f t="shared" si="2"/>
        <v>0.5207226355</v>
      </c>
      <c r="O62" s="11" t="str">
        <f t="shared" si="3"/>
        <v/>
      </c>
      <c r="P62" s="12">
        <f t="shared" si="4"/>
        <v>7468.95</v>
      </c>
    </row>
    <row r="63" ht="12.75" customHeight="1">
      <c r="A63" s="3" t="s">
        <v>187</v>
      </c>
      <c r="B63" s="3" t="s">
        <v>82</v>
      </c>
      <c r="C63" s="3" t="s">
        <v>57</v>
      </c>
      <c r="D63" s="3" t="s">
        <v>19</v>
      </c>
      <c r="E63" s="3" t="s">
        <v>58</v>
      </c>
      <c r="F63" s="3" t="s">
        <v>41</v>
      </c>
      <c r="G63" s="3" t="s">
        <v>12</v>
      </c>
      <c r="H63" s="3">
        <v>12786.0</v>
      </c>
      <c r="I63" s="3" t="s">
        <v>37</v>
      </c>
      <c r="J63" s="3">
        <v>0.1</v>
      </c>
      <c r="K63" s="3">
        <v>13000.0</v>
      </c>
      <c r="L63" s="15" t="s">
        <v>344</v>
      </c>
      <c r="M63" s="3" t="str">
        <f t="shared" si="1"/>
        <v>Below Target</v>
      </c>
      <c r="N63" s="10">
        <f t="shared" si="2"/>
        <v>0.5212765957</v>
      </c>
      <c r="O63" s="11">
        <f t="shared" si="3"/>
        <v>0.1</v>
      </c>
      <c r="P63" s="12">
        <f t="shared" si="4"/>
        <v>11507.4</v>
      </c>
    </row>
    <row r="64" ht="12.75" customHeight="1">
      <c r="A64" s="3" t="s">
        <v>188</v>
      </c>
      <c r="B64" s="3" t="s">
        <v>189</v>
      </c>
      <c r="C64" s="3" t="s">
        <v>57</v>
      </c>
      <c r="D64" s="3" t="s">
        <v>19</v>
      </c>
      <c r="E64" s="3" t="s">
        <v>58</v>
      </c>
      <c r="F64" s="3" t="s">
        <v>21</v>
      </c>
      <c r="G64" s="3" t="s">
        <v>13</v>
      </c>
      <c r="H64" s="3">
        <v>14886.0</v>
      </c>
      <c r="I64" s="3" t="s">
        <v>47</v>
      </c>
      <c r="J64" s="3">
        <v>0.3</v>
      </c>
      <c r="K64" s="3">
        <v>13000.0</v>
      </c>
      <c r="L64" s="15" t="s">
        <v>322</v>
      </c>
      <c r="M64" s="3" t="str">
        <f t="shared" si="1"/>
        <v>Target Achieved</v>
      </c>
      <c r="N64" s="10">
        <f t="shared" si="2"/>
        <v>0.5218317359</v>
      </c>
      <c r="O64" s="11">
        <f t="shared" si="3"/>
        <v>0.3</v>
      </c>
      <c r="P64" s="12">
        <f t="shared" si="4"/>
        <v>10420.2</v>
      </c>
    </row>
    <row r="65" ht="12.75" customHeight="1">
      <c r="A65" s="3" t="s">
        <v>191</v>
      </c>
      <c r="B65" s="3" t="s">
        <v>192</v>
      </c>
      <c r="C65" s="3" t="s">
        <v>18</v>
      </c>
      <c r="D65" s="3" t="s">
        <v>16</v>
      </c>
      <c r="E65" s="3" t="s">
        <v>20</v>
      </c>
      <c r="F65" s="3" t="s">
        <v>21</v>
      </c>
      <c r="G65" s="3" t="s">
        <v>12</v>
      </c>
      <c r="H65" s="3">
        <v>13266.0</v>
      </c>
      <c r="K65" s="3">
        <v>14000.0</v>
      </c>
      <c r="L65" s="3" t="s">
        <v>303</v>
      </c>
      <c r="M65" s="3" t="str">
        <f t="shared" si="1"/>
        <v>Below Target</v>
      </c>
      <c r="N65" s="10">
        <f t="shared" si="2"/>
        <v>0.5213219616</v>
      </c>
      <c r="O65" s="11">
        <f t="shared" si="3"/>
        <v>0</v>
      </c>
      <c r="P65" s="12">
        <f t="shared" si="4"/>
        <v>13266</v>
      </c>
      <c r="S65" s="19" t="s">
        <v>446</v>
      </c>
      <c r="T65" s="24">
        <f>sum(K3:K1002)</f>
        <v>13346000</v>
      </c>
    </row>
    <row r="66" ht="12.75" customHeight="1">
      <c r="A66" s="3" t="s">
        <v>193</v>
      </c>
      <c r="B66" s="3" t="s">
        <v>134</v>
      </c>
      <c r="C66" s="3" t="s">
        <v>45</v>
      </c>
      <c r="D66" s="3" t="s">
        <v>22</v>
      </c>
      <c r="E66" s="3" t="s">
        <v>20</v>
      </c>
      <c r="F66" s="3" t="s">
        <v>41</v>
      </c>
      <c r="G66" s="3" t="s">
        <v>13</v>
      </c>
      <c r="H66" s="3">
        <v>16722.0</v>
      </c>
      <c r="K66" s="3">
        <v>17000.0</v>
      </c>
      <c r="L66" s="3" t="s">
        <v>238</v>
      </c>
      <c r="M66" s="3" t="str">
        <f t="shared" si="1"/>
        <v>Below Target</v>
      </c>
      <c r="N66" s="10">
        <f t="shared" si="2"/>
        <v>0.5218783351</v>
      </c>
      <c r="O66" s="11">
        <f t="shared" si="3"/>
        <v>0</v>
      </c>
      <c r="P66" s="12">
        <f t="shared" si="4"/>
        <v>16722</v>
      </c>
      <c r="S66" s="19" t="s">
        <v>451</v>
      </c>
      <c r="T66" s="24">
        <f>AVERAGE(H3:H1002)</f>
        <v>13395.293</v>
      </c>
    </row>
    <row r="67" ht="12.75" customHeight="1">
      <c r="A67" s="3" t="s">
        <v>194</v>
      </c>
      <c r="B67" s="3" t="s">
        <v>195</v>
      </c>
      <c r="C67" s="3" t="s">
        <v>45</v>
      </c>
      <c r="D67" s="3" t="s">
        <v>22</v>
      </c>
      <c r="E67" s="3" t="s">
        <v>58</v>
      </c>
      <c r="F67" s="3" t="s">
        <v>52</v>
      </c>
      <c r="G67" s="3" t="s">
        <v>13</v>
      </c>
      <c r="H67" s="3">
        <v>16244.0</v>
      </c>
      <c r="I67" s="3" t="s">
        <v>47</v>
      </c>
      <c r="J67" s="3">
        <v>0.3</v>
      </c>
      <c r="K67" s="3">
        <v>17000.0</v>
      </c>
      <c r="L67" s="3" t="s">
        <v>65</v>
      </c>
      <c r="M67" s="3" t="str">
        <f t="shared" si="1"/>
        <v>Below Target</v>
      </c>
      <c r="N67" s="10">
        <f t="shared" si="2"/>
        <v>0.5224358974</v>
      </c>
      <c r="O67" s="11">
        <f t="shared" si="3"/>
        <v>0.3</v>
      </c>
      <c r="P67" s="12">
        <f t="shared" si="4"/>
        <v>11370.8</v>
      </c>
      <c r="S67" s="19" t="s">
        <v>456</v>
      </c>
      <c r="T67" s="25">
        <f>sum(H3:H1002)/sum(K3:K1002)</f>
        <v>1.003693466</v>
      </c>
    </row>
    <row r="68" ht="12.75" customHeight="1">
      <c r="A68" s="3" t="s">
        <v>196</v>
      </c>
      <c r="B68" s="3" t="s">
        <v>197</v>
      </c>
      <c r="C68" s="3" t="s">
        <v>45</v>
      </c>
      <c r="D68" s="3" t="s">
        <v>22</v>
      </c>
      <c r="E68" s="3" t="s">
        <v>58</v>
      </c>
      <c r="F68" s="3" t="s">
        <v>21</v>
      </c>
      <c r="G68" s="3" t="s">
        <v>11</v>
      </c>
      <c r="H68" s="3">
        <v>17767.0</v>
      </c>
      <c r="I68" s="3" t="s">
        <v>23</v>
      </c>
      <c r="J68" s="3">
        <v>0.2</v>
      </c>
      <c r="K68" s="3">
        <v>17000.0</v>
      </c>
      <c r="L68" s="15" t="s">
        <v>155</v>
      </c>
      <c r="M68" s="3" t="str">
        <f t="shared" si="1"/>
        <v>Target Achieved</v>
      </c>
      <c r="N68" s="10">
        <f t="shared" si="2"/>
        <v>0.5229946524</v>
      </c>
      <c r="O68" s="11">
        <f t="shared" si="3"/>
        <v>0.2</v>
      </c>
      <c r="P68" s="12">
        <f t="shared" si="4"/>
        <v>14213.6</v>
      </c>
    </row>
    <row r="69" ht="12.75" customHeight="1">
      <c r="A69" s="3" t="s">
        <v>199</v>
      </c>
      <c r="B69" s="3" t="s">
        <v>200</v>
      </c>
      <c r="C69" s="3" t="s">
        <v>57</v>
      </c>
      <c r="D69" s="3" t="s">
        <v>19</v>
      </c>
      <c r="E69" s="3" t="s">
        <v>20</v>
      </c>
      <c r="F69" s="3" t="s">
        <v>41</v>
      </c>
      <c r="G69" s="3" t="s">
        <v>11</v>
      </c>
      <c r="H69" s="3">
        <v>13111.0</v>
      </c>
      <c r="I69" s="3" t="s">
        <v>42</v>
      </c>
      <c r="K69" s="3">
        <v>13000.0</v>
      </c>
      <c r="L69" s="3" t="s">
        <v>332</v>
      </c>
      <c r="M69" s="3" t="str">
        <f t="shared" si="1"/>
        <v>Target Achieved</v>
      </c>
      <c r="N69" s="10">
        <f t="shared" si="2"/>
        <v>0.52248394</v>
      </c>
      <c r="O69" s="11" t="str">
        <f t="shared" si="3"/>
        <v/>
      </c>
      <c r="P69" s="12">
        <f t="shared" si="4"/>
        <v>11144.35</v>
      </c>
    </row>
    <row r="70" ht="12.75" customHeight="1">
      <c r="A70" s="3" t="s">
        <v>201</v>
      </c>
      <c r="B70" s="3" t="s">
        <v>202</v>
      </c>
      <c r="C70" s="3" t="s">
        <v>57</v>
      </c>
      <c r="D70" s="3" t="s">
        <v>19</v>
      </c>
      <c r="E70" s="3" t="s">
        <v>20</v>
      </c>
      <c r="F70" s="3" t="s">
        <v>21</v>
      </c>
      <c r="G70" s="3" t="s">
        <v>13</v>
      </c>
      <c r="H70" s="3">
        <v>14303.0</v>
      </c>
      <c r="I70" s="3" t="s">
        <v>23</v>
      </c>
      <c r="J70" s="3">
        <v>0.2</v>
      </c>
      <c r="K70" s="3">
        <v>13000.0</v>
      </c>
      <c r="L70" s="15" t="s">
        <v>114</v>
      </c>
      <c r="M70" s="3" t="str">
        <f t="shared" si="1"/>
        <v>Target Achieved</v>
      </c>
      <c r="N70" s="10">
        <f t="shared" si="2"/>
        <v>0.5219721329</v>
      </c>
      <c r="O70" s="11">
        <f t="shared" si="3"/>
        <v>0.2</v>
      </c>
      <c r="P70" s="12">
        <f t="shared" si="4"/>
        <v>11442.4</v>
      </c>
    </row>
    <row r="71" ht="12.75" customHeight="1">
      <c r="A71" s="3" t="s">
        <v>204</v>
      </c>
      <c r="B71" s="3" t="s">
        <v>205</v>
      </c>
      <c r="C71" s="3" t="s">
        <v>57</v>
      </c>
      <c r="D71" s="3" t="s">
        <v>19</v>
      </c>
      <c r="E71" s="3" t="s">
        <v>58</v>
      </c>
      <c r="F71" s="3" t="s">
        <v>52</v>
      </c>
      <c r="G71" s="3" t="s">
        <v>13</v>
      </c>
      <c r="H71" s="3">
        <v>12865.0</v>
      </c>
      <c r="K71" s="3">
        <v>13000.0</v>
      </c>
      <c r="L71" s="3" t="s">
        <v>337</v>
      </c>
      <c r="M71" s="3" t="str">
        <f t="shared" si="1"/>
        <v>Below Target</v>
      </c>
      <c r="N71" s="10">
        <f t="shared" si="2"/>
        <v>0.5214592275</v>
      </c>
      <c r="O71" s="11">
        <f t="shared" si="3"/>
        <v>0</v>
      </c>
      <c r="P71" s="12">
        <f t="shared" si="4"/>
        <v>12865</v>
      </c>
    </row>
    <row r="72" ht="12.75" customHeight="1">
      <c r="A72" s="3" t="s">
        <v>206</v>
      </c>
      <c r="B72" s="3" t="s">
        <v>207</v>
      </c>
      <c r="C72" s="3" t="s">
        <v>57</v>
      </c>
      <c r="D72" s="3" t="s">
        <v>19</v>
      </c>
      <c r="E72" s="3" t="s">
        <v>20</v>
      </c>
      <c r="F72" s="3" t="s">
        <v>52</v>
      </c>
      <c r="G72" s="3" t="s">
        <v>11</v>
      </c>
      <c r="H72" s="3">
        <v>13024.0</v>
      </c>
      <c r="K72" s="3">
        <v>13000.0</v>
      </c>
      <c r="L72" s="3" t="s">
        <v>245</v>
      </c>
      <c r="M72" s="3" t="str">
        <f t="shared" si="1"/>
        <v>Target Achieved</v>
      </c>
      <c r="N72" s="10">
        <f t="shared" si="2"/>
        <v>0.522019334</v>
      </c>
      <c r="O72" s="11">
        <f t="shared" si="3"/>
        <v>0</v>
      </c>
      <c r="P72" s="12">
        <f t="shared" si="4"/>
        <v>13024</v>
      </c>
    </row>
    <row r="73" ht="12.75" customHeight="1">
      <c r="A73" s="3" t="s">
        <v>210</v>
      </c>
      <c r="B73" s="3" t="s">
        <v>148</v>
      </c>
      <c r="C73" s="3" t="s">
        <v>18</v>
      </c>
      <c r="D73" s="3" t="s">
        <v>16</v>
      </c>
      <c r="E73" s="3" t="s">
        <v>46</v>
      </c>
      <c r="F73" s="3" t="s">
        <v>21</v>
      </c>
      <c r="G73" s="3" t="s">
        <v>13</v>
      </c>
      <c r="H73" s="3">
        <v>12720.0</v>
      </c>
      <c r="I73" s="3" t="s">
        <v>42</v>
      </c>
      <c r="K73" s="3">
        <v>14000.0</v>
      </c>
      <c r="L73" s="3" t="s">
        <v>345</v>
      </c>
      <c r="M73" s="3" t="str">
        <f t="shared" si="1"/>
        <v>Below Target</v>
      </c>
      <c r="N73" s="10">
        <f t="shared" si="2"/>
        <v>0.5215053763</v>
      </c>
      <c r="O73" s="11" t="str">
        <f t="shared" si="3"/>
        <v/>
      </c>
      <c r="P73" s="12">
        <f t="shared" si="4"/>
        <v>10812</v>
      </c>
    </row>
    <row r="74" ht="12.75" customHeight="1">
      <c r="A74" s="3" t="s">
        <v>212</v>
      </c>
      <c r="B74" s="3" t="s">
        <v>213</v>
      </c>
      <c r="C74" s="3" t="s">
        <v>57</v>
      </c>
      <c r="D74" s="3" t="s">
        <v>19</v>
      </c>
      <c r="E74" s="3" t="s">
        <v>46</v>
      </c>
      <c r="F74" s="3" t="s">
        <v>21</v>
      </c>
      <c r="G74" s="3" t="s">
        <v>13</v>
      </c>
      <c r="H74" s="3">
        <v>14282.0</v>
      </c>
      <c r="K74" s="3">
        <v>13000.0</v>
      </c>
      <c r="L74" s="15" t="s">
        <v>317</v>
      </c>
      <c r="M74" s="3" t="str">
        <f t="shared" si="1"/>
        <v>Target Achieved</v>
      </c>
      <c r="N74" s="10">
        <f t="shared" si="2"/>
        <v>0.5220667384</v>
      </c>
      <c r="O74" s="11">
        <f t="shared" si="3"/>
        <v>0</v>
      </c>
      <c r="P74" s="12">
        <f t="shared" si="4"/>
        <v>14282</v>
      </c>
    </row>
    <row r="75" ht="12.75" customHeight="1">
      <c r="A75" s="3" t="s">
        <v>214</v>
      </c>
      <c r="B75" s="3" t="s">
        <v>215</v>
      </c>
      <c r="C75" s="3" t="s">
        <v>45</v>
      </c>
      <c r="D75" s="3" t="s">
        <v>22</v>
      </c>
      <c r="E75" s="3" t="s">
        <v>58</v>
      </c>
      <c r="F75" s="3" t="s">
        <v>52</v>
      </c>
      <c r="G75" s="3" t="s">
        <v>12</v>
      </c>
      <c r="H75" s="3">
        <v>18653.0</v>
      </c>
      <c r="I75" s="3" t="s">
        <v>42</v>
      </c>
      <c r="K75" s="3">
        <v>17000.0</v>
      </c>
      <c r="L75" s="3" t="s">
        <v>117</v>
      </c>
      <c r="M75" s="3" t="str">
        <f t="shared" si="1"/>
        <v>Target Achieved</v>
      </c>
      <c r="N75" s="10">
        <f t="shared" si="2"/>
        <v>0.5215517241</v>
      </c>
      <c r="O75" s="11" t="str">
        <f t="shared" si="3"/>
        <v/>
      </c>
      <c r="P75" s="12">
        <f t="shared" si="4"/>
        <v>15855.05</v>
      </c>
    </row>
    <row r="76" ht="12.75" customHeight="1">
      <c r="A76" s="3" t="s">
        <v>216</v>
      </c>
      <c r="B76" s="3" t="s">
        <v>185</v>
      </c>
      <c r="C76" s="3" t="s">
        <v>76</v>
      </c>
      <c r="D76" s="3" t="s">
        <v>24</v>
      </c>
      <c r="E76" s="3" t="s">
        <v>46</v>
      </c>
      <c r="F76" s="3" t="s">
        <v>52</v>
      </c>
      <c r="G76" s="3" t="s">
        <v>11</v>
      </c>
      <c r="H76" s="3">
        <v>8843.0</v>
      </c>
      <c r="I76" s="3" t="s">
        <v>47</v>
      </c>
      <c r="J76" s="3">
        <v>0.3</v>
      </c>
      <c r="K76" s="3">
        <v>9000.0</v>
      </c>
      <c r="L76" s="3" t="s">
        <v>323</v>
      </c>
      <c r="M76" s="3" t="str">
        <f t="shared" si="1"/>
        <v>Below Target</v>
      </c>
      <c r="N76" s="10">
        <f t="shared" si="2"/>
        <v>0.5210355987</v>
      </c>
      <c r="O76" s="11">
        <f t="shared" si="3"/>
        <v>0.3</v>
      </c>
      <c r="P76" s="12">
        <f t="shared" si="4"/>
        <v>6190.1</v>
      </c>
    </row>
    <row r="77" ht="12.75" customHeight="1">
      <c r="A77" s="3" t="s">
        <v>217</v>
      </c>
      <c r="B77" s="3" t="s">
        <v>218</v>
      </c>
      <c r="C77" s="3" t="s">
        <v>45</v>
      </c>
      <c r="D77" s="3" t="s">
        <v>22</v>
      </c>
      <c r="E77" s="3" t="s">
        <v>20</v>
      </c>
      <c r="F77" s="3" t="s">
        <v>21</v>
      </c>
      <c r="G77" s="3" t="s">
        <v>12</v>
      </c>
      <c r="H77" s="3">
        <v>15979.0</v>
      </c>
      <c r="I77" s="3" t="s">
        <v>47</v>
      </c>
      <c r="J77" s="3">
        <v>0.3</v>
      </c>
      <c r="K77" s="3">
        <v>17000.0</v>
      </c>
      <c r="L77" s="3" t="s">
        <v>203</v>
      </c>
      <c r="M77" s="3" t="str">
        <f t="shared" si="1"/>
        <v>Below Target</v>
      </c>
      <c r="N77" s="10">
        <f t="shared" si="2"/>
        <v>0.5215982721</v>
      </c>
      <c r="O77" s="11">
        <f t="shared" si="3"/>
        <v>0.3</v>
      </c>
      <c r="P77" s="12">
        <f t="shared" si="4"/>
        <v>11185.3</v>
      </c>
    </row>
    <row r="78" ht="12.75" customHeight="1">
      <c r="A78" s="3" t="s">
        <v>219</v>
      </c>
      <c r="B78" s="3" t="s">
        <v>220</v>
      </c>
      <c r="C78" s="3" t="s">
        <v>45</v>
      </c>
      <c r="D78" s="3" t="s">
        <v>22</v>
      </c>
      <c r="E78" s="3" t="s">
        <v>46</v>
      </c>
      <c r="F78" s="3" t="s">
        <v>21</v>
      </c>
      <c r="G78" s="3" t="s">
        <v>11</v>
      </c>
      <c r="H78" s="3">
        <v>16309.0</v>
      </c>
      <c r="I78" s="3" t="s">
        <v>42</v>
      </c>
      <c r="K78" s="3">
        <v>17000.0</v>
      </c>
      <c r="L78" s="15" t="s">
        <v>123</v>
      </c>
      <c r="M78" s="3" t="str">
        <f t="shared" si="1"/>
        <v>Below Target</v>
      </c>
      <c r="N78" s="10">
        <f t="shared" si="2"/>
        <v>0.5221621622</v>
      </c>
      <c r="O78" s="11" t="str">
        <f t="shared" si="3"/>
        <v/>
      </c>
      <c r="P78" s="12">
        <f t="shared" si="4"/>
        <v>13862.65</v>
      </c>
    </row>
    <row r="79" ht="12.75" customHeight="1">
      <c r="A79" s="3" t="s">
        <v>222</v>
      </c>
      <c r="B79" s="3" t="s">
        <v>223</v>
      </c>
      <c r="C79" s="3" t="s">
        <v>57</v>
      </c>
      <c r="D79" s="3" t="s">
        <v>19</v>
      </c>
      <c r="E79" s="3" t="s">
        <v>58</v>
      </c>
      <c r="F79" s="3" t="s">
        <v>52</v>
      </c>
      <c r="G79" s="3" t="s">
        <v>13</v>
      </c>
      <c r="H79" s="3">
        <v>13893.0</v>
      </c>
      <c r="I79" s="3" t="s">
        <v>23</v>
      </c>
      <c r="J79" s="3">
        <v>0.2</v>
      </c>
      <c r="K79" s="3">
        <v>13000.0</v>
      </c>
      <c r="L79" s="15" t="s">
        <v>109</v>
      </c>
      <c r="M79" s="3" t="str">
        <f t="shared" si="1"/>
        <v>Target Achieved</v>
      </c>
      <c r="N79" s="10">
        <f t="shared" si="2"/>
        <v>0.5227272727</v>
      </c>
      <c r="O79" s="11">
        <f t="shared" si="3"/>
        <v>0.2</v>
      </c>
      <c r="P79" s="12">
        <f t="shared" si="4"/>
        <v>11114.4</v>
      </c>
    </row>
    <row r="80" ht="12.75" customHeight="1">
      <c r="A80" s="3" t="s">
        <v>224</v>
      </c>
      <c r="B80" s="3" t="s">
        <v>225</v>
      </c>
      <c r="C80" s="3" t="s">
        <v>45</v>
      </c>
      <c r="D80" s="3" t="s">
        <v>22</v>
      </c>
      <c r="E80" s="3" t="s">
        <v>20</v>
      </c>
      <c r="F80" s="3" t="s">
        <v>21</v>
      </c>
      <c r="G80" s="3" t="s">
        <v>11</v>
      </c>
      <c r="H80" s="3">
        <v>15255.0</v>
      </c>
      <c r="I80" s="3" t="s">
        <v>23</v>
      </c>
      <c r="J80" s="3">
        <v>0.2</v>
      </c>
      <c r="K80" s="3">
        <v>17000.0</v>
      </c>
      <c r="L80" s="3" t="s">
        <v>106</v>
      </c>
      <c r="M80" s="3" t="str">
        <f t="shared" si="1"/>
        <v>Below Target</v>
      </c>
      <c r="N80" s="10">
        <f t="shared" si="2"/>
        <v>0.5222101842</v>
      </c>
      <c r="O80" s="11">
        <f t="shared" si="3"/>
        <v>0.2</v>
      </c>
      <c r="P80" s="12">
        <f t="shared" si="4"/>
        <v>12204</v>
      </c>
    </row>
    <row r="81" ht="12.75" customHeight="1">
      <c r="A81" s="3" t="s">
        <v>226</v>
      </c>
      <c r="B81" s="3" t="s">
        <v>225</v>
      </c>
      <c r="C81" s="3" t="s">
        <v>18</v>
      </c>
      <c r="D81" s="3" t="s">
        <v>16</v>
      </c>
      <c r="E81" s="3" t="s">
        <v>20</v>
      </c>
      <c r="F81" s="3" t="s">
        <v>21</v>
      </c>
      <c r="G81" s="3" t="s">
        <v>11</v>
      </c>
      <c r="H81" s="3">
        <v>12024.0</v>
      </c>
      <c r="I81" s="3" t="s">
        <v>47</v>
      </c>
      <c r="J81" s="3">
        <v>0.3</v>
      </c>
      <c r="K81" s="3">
        <v>14000.0</v>
      </c>
      <c r="L81" s="3" t="s">
        <v>327</v>
      </c>
      <c r="M81" s="3" t="str">
        <f t="shared" si="1"/>
        <v>Below Target</v>
      </c>
      <c r="N81" s="10">
        <f t="shared" si="2"/>
        <v>0.5227765727</v>
      </c>
      <c r="O81" s="11">
        <f t="shared" si="3"/>
        <v>0.3</v>
      </c>
      <c r="P81" s="12">
        <f t="shared" si="4"/>
        <v>8416.8</v>
      </c>
    </row>
    <row r="82" ht="12.75" customHeight="1">
      <c r="A82" s="3" t="s">
        <v>228</v>
      </c>
      <c r="B82" s="3" t="s">
        <v>229</v>
      </c>
      <c r="C82" s="3" t="s">
        <v>76</v>
      </c>
      <c r="D82" s="3" t="s">
        <v>24</v>
      </c>
      <c r="E82" s="3" t="s">
        <v>20</v>
      </c>
      <c r="F82" s="3" t="s">
        <v>52</v>
      </c>
      <c r="G82" s="3" t="s">
        <v>12</v>
      </c>
      <c r="H82" s="3">
        <v>9236.0</v>
      </c>
      <c r="I82" s="3" t="s">
        <v>42</v>
      </c>
      <c r="K82" s="3">
        <v>9000.0</v>
      </c>
      <c r="L82" s="3" t="s">
        <v>338</v>
      </c>
      <c r="M82" s="3" t="str">
        <f t="shared" si="1"/>
        <v>Target Achieved</v>
      </c>
      <c r="N82" s="10">
        <f t="shared" si="2"/>
        <v>0.5233441911</v>
      </c>
      <c r="O82" s="11" t="str">
        <f t="shared" si="3"/>
        <v/>
      </c>
      <c r="P82" s="12">
        <f t="shared" si="4"/>
        <v>7850.6</v>
      </c>
    </row>
    <row r="83" ht="12.75" customHeight="1">
      <c r="A83" s="3" t="s">
        <v>230</v>
      </c>
      <c r="B83" s="3" t="s">
        <v>44</v>
      </c>
      <c r="C83" s="3" t="s">
        <v>57</v>
      </c>
      <c r="D83" s="3" t="s">
        <v>19</v>
      </c>
      <c r="E83" s="3" t="s">
        <v>58</v>
      </c>
      <c r="F83" s="3" t="s">
        <v>21</v>
      </c>
      <c r="G83" s="3" t="s">
        <v>11</v>
      </c>
      <c r="H83" s="3">
        <v>11118.0</v>
      </c>
      <c r="K83" s="3">
        <v>13000.0</v>
      </c>
      <c r="L83" s="3" t="s">
        <v>332</v>
      </c>
      <c r="M83" s="3" t="str">
        <f t="shared" si="1"/>
        <v>Below Target</v>
      </c>
      <c r="N83" s="10">
        <f t="shared" si="2"/>
        <v>0.522826087</v>
      </c>
      <c r="O83" s="11">
        <f t="shared" si="3"/>
        <v>0</v>
      </c>
      <c r="P83" s="12">
        <f t="shared" si="4"/>
        <v>11118</v>
      </c>
    </row>
    <row r="84" ht="12.75" customHeight="1">
      <c r="A84" s="3" t="s">
        <v>231</v>
      </c>
      <c r="B84" s="3" t="s">
        <v>122</v>
      </c>
      <c r="C84" s="3" t="s">
        <v>76</v>
      </c>
      <c r="D84" s="3" t="s">
        <v>24</v>
      </c>
      <c r="E84" s="3" t="s">
        <v>20</v>
      </c>
      <c r="F84" s="3" t="s">
        <v>41</v>
      </c>
      <c r="G84" s="3" t="s">
        <v>11</v>
      </c>
      <c r="H84" s="3">
        <v>10766.0</v>
      </c>
      <c r="I84" s="3" t="s">
        <v>23</v>
      </c>
      <c r="J84" s="3">
        <v>0.2</v>
      </c>
      <c r="K84" s="3">
        <v>9000.0</v>
      </c>
      <c r="L84" s="15" t="s">
        <v>322</v>
      </c>
      <c r="M84" s="3" t="str">
        <f t="shared" si="1"/>
        <v>Target Achieved</v>
      </c>
      <c r="N84" s="10">
        <f t="shared" si="2"/>
        <v>0.5233949946</v>
      </c>
      <c r="O84" s="11">
        <f t="shared" si="3"/>
        <v>0.2</v>
      </c>
      <c r="P84" s="12">
        <f t="shared" si="4"/>
        <v>8612.8</v>
      </c>
    </row>
    <row r="85" ht="12.75" customHeight="1">
      <c r="A85" s="3" t="s">
        <v>232</v>
      </c>
      <c r="B85" s="3" t="s">
        <v>233</v>
      </c>
      <c r="C85" s="3" t="s">
        <v>76</v>
      </c>
      <c r="D85" s="3" t="s">
        <v>24</v>
      </c>
      <c r="E85" s="3" t="s">
        <v>20</v>
      </c>
      <c r="F85" s="3" t="s">
        <v>52</v>
      </c>
      <c r="G85" s="3" t="s">
        <v>12</v>
      </c>
      <c r="H85" s="3">
        <v>7111.0</v>
      </c>
      <c r="I85" s="3" t="s">
        <v>37</v>
      </c>
      <c r="J85" s="3">
        <v>0.1</v>
      </c>
      <c r="K85" s="3">
        <v>9000.0</v>
      </c>
      <c r="L85" s="15" t="s">
        <v>313</v>
      </c>
      <c r="M85" s="3" t="str">
        <f t="shared" si="1"/>
        <v>Below Target</v>
      </c>
      <c r="N85" s="10">
        <f t="shared" si="2"/>
        <v>0.522875817</v>
      </c>
      <c r="O85" s="11">
        <f t="shared" si="3"/>
        <v>0.1</v>
      </c>
      <c r="P85" s="12">
        <f t="shared" si="4"/>
        <v>6399.9</v>
      </c>
    </row>
    <row r="86" ht="12.75" customHeight="1">
      <c r="A86" s="3" t="s">
        <v>236</v>
      </c>
      <c r="B86" s="3" t="s">
        <v>237</v>
      </c>
      <c r="C86" s="3" t="s">
        <v>76</v>
      </c>
      <c r="D86" s="3" t="s">
        <v>24</v>
      </c>
      <c r="E86" s="3" t="s">
        <v>46</v>
      </c>
      <c r="F86" s="3" t="s">
        <v>41</v>
      </c>
      <c r="G86" s="3" t="s">
        <v>11</v>
      </c>
      <c r="H86" s="3">
        <v>8552.0</v>
      </c>
      <c r="I86" s="3" t="s">
        <v>47</v>
      </c>
      <c r="J86" s="3">
        <v>0.3</v>
      </c>
      <c r="K86" s="3">
        <v>9000.0</v>
      </c>
      <c r="L86" s="3" t="s">
        <v>65</v>
      </c>
      <c r="M86" s="3" t="str">
        <f t="shared" si="1"/>
        <v>Below Target</v>
      </c>
      <c r="N86" s="10">
        <f t="shared" si="2"/>
        <v>0.5234460196</v>
      </c>
      <c r="O86" s="11">
        <f t="shared" si="3"/>
        <v>0.3</v>
      </c>
      <c r="P86" s="12">
        <f t="shared" si="4"/>
        <v>5986.4</v>
      </c>
    </row>
    <row r="87" ht="12.75" customHeight="1">
      <c r="A87" s="3" t="s">
        <v>239</v>
      </c>
      <c r="B87" s="3" t="s">
        <v>240</v>
      </c>
      <c r="C87" s="3" t="s">
        <v>45</v>
      </c>
      <c r="D87" s="3" t="s">
        <v>22</v>
      </c>
      <c r="E87" s="3" t="s">
        <v>58</v>
      </c>
      <c r="F87" s="3" t="s">
        <v>21</v>
      </c>
      <c r="G87" s="3" t="s">
        <v>11</v>
      </c>
      <c r="H87" s="3">
        <v>16033.0</v>
      </c>
      <c r="I87" s="3" t="s">
        <v>37</v>
      </c>
      <c r="J87" s="3">
        <v>0.1</v>
      </c>
      <c r="K87" s="3">
        <v>17000.0</v>
      </c>
      <c r="L87" s="3" t="s">
        <v>283</v>
      </c>
      <c r="M87" s="3" t="str">
        <f t="shared" si="1"/>
        <v>Below Target</v>
      </c>
      <c r="N87" s="10">
        <f t="shared" si="2"/>
        <v>0.5240174672</v>
      </c>
      <c r="O87" s="11">
        <f t="shared" si="3"/>
        <v>0.1</v>
      </c>
      <c r="P87" s="12">
        <f t="shared" si="4"/>
        <v>14429.7</v>
      </c>
    </row>
    <row r="88" ht="12.75" customHeight="1">
      <c r="A88" s="3" t="s">
        <v>241</v>
      </c>
      <c r="B88" s="3" t="s">
        <v>242</v>
      </c>
      <c r="C88" s="3" t="s">
        <v>18</v>
      </c>
      <c r="D88" s="3" t="s">
        <v>16</v>
      </c>
      <c r="E88" s="3" t="s">
        <v>58</v>
      </c>
      <c r="F88" s="3" t="s">
        <v>41</v>
      </c>
      <c r="G88" s="3" t="s">
        <v>12</v>
      </c>
      <c r="H88" s="3">
        <v>12281.0</v>
      </c>
      <c r="I88" s="3" t="s">
        <v>37</v>
      </c>
      <c r="J88" s="3">
        <v>0.1</v>
      </c>
      <c r="K88" s="3">
        <v>14000.0</v>
      </c>
      <c r="L88" s="3" t="s">
        <v>323</v>
      </c>
      <c r="M88" s="3" t="str">
        <f t="shared" si="1"/>
        <v>Below Target</v>
      </c>
      <c r="N88" s="10">
        <f t="shared" si="2"/>
        <v>0.5245901639</v>
      </c>
      <c r="O88" s="11">
        <f t="shared" si="3"/>
        <v>0.1</v>
      </c>
      <c r="P88" s="12">
        <f t="shared" si="4"/>
        <v>11052.9</v>
      </c>
    </row>
    <row r="89" ht="12.75" customHeight="1">
      <c r="A89" s="3" t="s">
        <v>243</v>
      </c>
      <c r="B89" s="3" t="s">
        <v>244</v>
      </c>
      <c r="C89" s="3" t="s">
        <v>57</v>
      </c>
      <c r="D89" s="3" t="s">
        <v>19</v>
      </c>
      <c r="E89" s="3" t="s">
        <v>46</v>
      </c>
      <c r="F89" s="3" t="s">
        <v>52</v>
      </c>
      <c r="G89" s="3" t="s">
        <v>13</v>
      </c>
      <c r="H89" s="3">
        <v>11977.0</v>
      </c>
      <c r="I89" s="3" t="s">
        <v>23</v>
      </c>
      <c r="J89" s="3">
        <v>0.2</v>
      </c>
      <c r="K89" s="3">
        <v>13000.0</v>
      </c>
      <c r="L89" s="3" t="s">
        <v>283</v>
      </c>
      <c r="M89" s="3" t="str">
        <f t="shared" si="1"/>
        <v>Below Target</v>
      </c>
      <c r="N89" s="10">
        <f t="shared" si="2"/>
        <v>0.5251641138</v>
      </c>
      <c r="O89" s="11">
        <f t="shared" si="3"/>
        <v>0.2</v>
      </c>
      <c r="P89" s="12">
        <f t="shared" si="4"/>
        <v>9581.6</v>
      </c>
    </row>
    <row r="90" ht="12.75" customHeight="1">
      <c r="A90" s="3" t="s">
        <v>246</v>
      </c>
      <c r="B90" s="3" t="s">
        <v>17</v>
      </c>
      <c r="C90" s="3" t="s">
        <v>57</v>
      </c>
      <c r="D90" s="3" t="s">
        <v>19</v>
      </c>
      <c r="E90" s="3" t="s">
        <v>58</v>
      </c>
      <c r="F90" s="3" t="s">
        <v>52</v>
      </c>
      <c r="G90" s="3" t="s">
        <v>11</v>
      </c>
      <c r="H90" s="3">
        <v>14141.0</v>
      </c>
      <c r="I90" s="3" t="s">
        <v>47</v>
      </c>
      <c r="J90" s="3">
        <v>0.3</v>
      </c>
      <c r="K90" s="3">
        <v>13000.0</v>
      </c>
      <c r="L90" s="15" t="s">
        <v>103</v>
      </c>
      <c r="M90" s="3" t="str">
        <f t="shared" si="1"/>
        <v>Target Achieved</v>
      </c>
      <c r="N90" s="10">
        <f t="shared" si="2"/>
        <v>0.5257393209</v>
      </c>
      <c r="O90" s="11">
        <f t="shared" si="3"/>
        <v>0.3</v>
      </c>
      <c r="P90" s="12">
        <f t="shared" si="4"/>
        <v>9898.7</v>
      </c>
    </row>
    <row r="91" ht="12.75" customHeight="1">
      <c r="A91" s="3" t="s">
        <v>247</v>
      </c>
      <c r="B91" s="3" t="s">
        <v>248</v>
      </c>
      <c r="C91" s="3" t="s">
        <v>18</v>
      </c>
      <c r="D91" s="3" t="s">
        <v>16</v>
      </c>
      <c r="E91" s="3" t="s">
        <v>46</v>
      </c>
      <c r="F91" s="3" t="s">
        <v>21</v>
      </c>
      <c r="G91" s="3" t="s">
        <v>13</v>
      </c>
      <c r="H91" s="3">
        <v>14370.0</v>
      </c>
      <c r="I91" s="3" t="s">
        <v>37</v>
      </c>
      <c r="J91" s="3">
        <v>0.1</v>
      </c>
      <c r="K91" s="3">
        <v>14000.0</v>
      </c>
      <c r="L91" s="3" t="s">
        <v>80</v>
      </c>
      <c r="M91" s="3" t="str">
        <f t="shared" si="1"/>
        <v>Target Achieved</v>
      </c>
      <c r="N91" s="10">
        <f t="shared" si="2"/>
        <v>0.5252192982</v>
      </c>
      <c r="O91" s="11">
        <f t="shared" si="3"/>
        <v>0.1</v>
      </c>
      <c r="P91" s="12">
        <f t="shared" si="4"/>
        <v>12933</v>
      </c>
    </row>
    <row r="92" ht="12.75" customHeight="1">
      <c r="A92" s="3" t="s">
        <v>249</v>
      </c>
      <c r="B92" s="3" t="s">
        <v>154</v>
      </c>
      <c r="C92" s="3" t="s">
        <v>76</v>
      </c>
      <c r="D92" s="3" t="s">
        <v>24</v>
      </c>
      <c r="E92" s="3" t="s">
        <v>58</v>
      </c>
      <c r="F92" s="3" t="s">
        <v>52</v>
      </c>
      <c r="G92" s="3" t="s">
        <v>13</v>
      </c>
      <c r="H92" s="3">
        <v>7311.0</v>
      </c>
      <c r="I92" s="3" t="s">
        <v>42</v>
      </c>
      <c r="K92" s="3">
        <v>9000.0</v>
      </c>
      <c r="L92" s="3" t="s">
        <v>96</v>
      </c>
      <c r="M92" s="3" t="str">
        <f t="shared" si="1"/>
        <v>Below Target</v>
      </c>
      <c r="N92" s="10">
        <f t="shared" si="2"/>
        <v>0.5246981339</v>
      </c>
      <c r="O92" s="11" t="str">
        <f t="shared" si="3"/>
        <v/>
      </c>
      <c r="P92" s="12">
        <f t="shared" si="4"/>
        <v>6214.35</v>
      </c>
    </row>
    <row r="93" ht="12.75" customHeight="1">
      <c r="A93" s="3" t="s">
        <v>250</v>
      </c>
      <c r="B93" s="3" t="s">
        <v>251</v>
      </c>
      <c r="C93" s="3" t="s">
        <v>57</v>
      </c>
      <c r="D93" s="3" t="s">
        <v>19</v>
      </c>
      <c r="E93" s="3" t="s">
        <v>46</v>
      </c>
      <c r="F93" s="3" t="s">
        <v>52</v>
      </c>
      <c r="G93" s="3" t="s">
        <v>11</v>
      </c>
      <c r="H93" s="3">
        <v>14482.0</v>
      </c>
      <c r="I93" s="3" t="s">
        <v>42</v>
      </c>
      <c r="K93" s="3">
        <v>13000.0</v>
      </c>
      <c r="L93" s="3" t="s">
        <v>330</v>
      </c>
      <c r="M93" s="3" t="str">
        <f t="shared" si="1"/>
        <v>Target Achieved</v>
      </c>
      <c r="N93" s="10">
        <f t="shared" si="2"/>
        <v>0.5252747253</v>
      </c>
      <c r="O93" s="11" t="str">
        <f t="shared" si="3"/>
        <v/>
      </c>
      <c r="P93" s="12">
        <f t="shared" si="4"/>
        <v>12309.7</v>
      </c>
    </row>
    <row r="94" ht="12.75" customHeight="1">
      <c r="A94" s="3" t="s">
        <v>252</v>
      </c>
      <c r="B94" s="3" t="s">
        <v>253</v>
      </c>
      <c r="C94" s="3" t="s">
        <v>18</v>
      </c>
      <c r="D94" s="3" t="s">
        <v>16</v>
      </c>
      <c r="E94" s="3" t="s">
        <v>58</v>
      </c>
      <c r="F94" s="3" t="s">
        <v>52</v>
      </c>
      <c r="G94" s="3" t="s">
        <v>11</v>
      </c>
      <c r="H94" s="3">
        <v>14709.0</v>
      </c>
      <c r="I94" s="3" t="s">
        <v>47</v>
      </c>
      <c r="J94" s="3">
        <v>0.3</v>
      </c>
      <c r="K94" s="3">
        <v>14000.0</v>
      </c>
      <c r="L94" s="15" t="s">
        <v>109</v>
      </c>
      <c r="M94" s="3" t="str">
        <f t="shared" si="1"/>
        <v>Target Achieved</v>
      </c>
      <c r="N94" s="10">
        <f t="shared" si="2"/>
        <v>0.5247524752</v>
      </c>
      <c r="O94" s="11">
        <f t="shared" si="3"/>
        <v>0.3</v>
      </c>
      <c r="P94" s="12">
        <f t="shared" si="4"/>
        <v>10296.3</v>
      </c>
    </row>
    <row r="95" ht="12.75" customHeight="1">
      <c r="A95" s="3" t="s">
        <v>254</v>
      </c>
      <c r="B95" s="3" t="s">
        <v>255</v>
      </c>
      <c r="C95" s="3" t="s">
        <v>45</v>
      </c>
      <c r="D95" s="3" t="s">
        <v>22</v>
      </c>
      <c r="E95" s="3" t="s">
        <v>46</v>
      </c>
      <c r="F95" s="3" t="s">
        <v>21</v>
      </c>
      <c r="G95" s="3" t="s">
        <v>11</v>
      </c>
      <c r="H95" s="3">
        <v>15432.0</v>
      </c>
      <c r="K95" s="3">
        <v>17000.0</v>
      </c>
      <c r="L95" s="3" t="s">
        <v>336</v>
      </c>
      <c r="M95" s="3" t="str">
        <f t="shared" si="1"/>
        <v>Below Target</v>
      </c>
      <c r="N95" s="10">
        <f t="shared" si="2"/>
        <v>0.5242290749</v>
      </c>
      <c r="O95" s="11">
        <f t="shared" si="3"/>
        <v>0</v>
      </c>
      <c r="P95" s="12">
        <f t="shared" si="4"/>
        <v>15432</v>
      </c>
    </row>
    <row r="96" ht="12.75" customHeight="1">
      <c r="A96" s="3" t="s">
        <v>256</v>
      </c>
      <c r="B96" s="3" t="s">
        <v>257</v>
      </c>
      <c r="C96" s="3" t="s">
        <v>76</v>
      </c>
      <c r="D96" s="3" t="s">
        <v>24</v>
      </c>
      <c r="E96" s="3" t="s">
        <v>20</v>
      </c>
      <c r="F96" s="3" t="s">
        <v>41</v>
      </c>
      <c r="G96" s="3" t="s">
        <v>11</v>
      </c>
      <c r="H96" s="3">
        <v>7721.0</v>
      </c>
      <c r="I96" s="3" t="s">
        <v>42</v>
      </c>
      <c r="K96" s="3">
        <v>9000.0</v>
      </c>
      <c r="L96" s="15" t="s">
        <v>313</v>
      </c>
      <c r="M96" s="3" t="str">
        <f t="shared" si="1"/>
        <v>Below Target</v>
      </c>
      <c r="N96" s="10">
        <f t="shared" si="2"/>
        <v>0.5248070562</v>
      </c>
      <c r="O96" s="11" t="str">
        <f t="shared" si="3"/>
        <v/>
      </c>
      <c r="P96" s="12">
        <f t="shared" si="4"/>
        <v>6562.85</v>
      </c>
    </row>
    <row r="97" ht="12.75" customHeight="1">
      <c r="A97" s="3" t="s">
        <v>259</v>
      </c>
      <c r="B97" s="3" t="s">
        <v>154</v>
      </c>
      <c r="C97" s="3" t="s">
        <v>76</v>
      </c>
      <c r="D97" s="3" t="s">
        <v>24</v>
      </c>
      <c r="E97" s="3" t="s">
        <v>58</v>
      </c>
      <c r="F97" s="3" t="s">
        <v>21</v>
      </c>
      <c r="G97" s="3" t="s">
        <v>12</v>
      </c>
      <c r="H97" s="3">
        <v>9426.0</v>
      </c>
      <c r="I97" s="3" t="s">
        <v>47</v>
      </c>
      <c r="J97" s="3">
        <v>0.3</v>
      </c>
      <c r="K97" s="3">
        <v>9000.0</v>
      </c>
      <c r="L97" s="3" t="s">
        <v>303</v>
      </c>
      <c r="M97" s="3" t="str">
        <f t="shared" si="1"/>
        <v>Target Achieved</v>
      </c>
      <c r="N97" s="10">
        <f t="shared" si="2"/>
        <v>0.5253863135</v>
      </c>
      <c r="O97" s="11">
        <f t="shared" si="3"/>
        <v>0.3</v>
      </c>
      <c r="P97" s="12">
        <f t="shared" si="4"/>
        <v>6598.2</v>
      </c>
    </row>
    <row r="98" ht="12.75" customHeight="1">
      <c r="A98" s="3" t="s">
        <v>260</v>
      </c>
      <c r="B98" s="3" t="s">
        <v>261</v>
      </c>
      <c r="C98" s="3" t="s">
        <v>18</v>
      </c>
      <c r="D98" s="3" t="s">
        <v>16</v>
      </c>
      <c r="E98" s="3" t="s">
        <v>58</v>
      </c>
      <c r="F98" s="3" t="s">
        <v>21</v>
      </c>
      <c r="G98" s="3" t="s">
        <v>13</v>
      </c>
      <c r="H98" s="3">
        <v>15073.0</v>
      </c>
      <c r="K98" s="3">
        <v>14000.0</v>
      </c>
      <c r="L98" s="15" t="s">
        <v>352</v>
      </c>
      <c r="M98" s="3" t="str">
        <f t="shared" si="1"/>
        <v>Target Achieved</v>
      </c>
      <c r="N98" s="10">
        <f t="shared" si="2"/>
        <v>0.5248618785</v>
      </c>
      <c r="O98" s="11">
        <f t="shared" si="3"/>
        <v>0</v>
      </c>
      <c r="P98" s="12">
        <f t="shared" si="4"/>
        <v>15073</v>
      </c>
    </row>
    <row r="99" ht="12.75" customHeight="1">
      <c r="A99" s="3" t="s">
        <v>262</v>
      </c>
      <c r="B99" s="3" t="s">
        <v>263</v>
      </c>
      <c r="C99" s="3" t="s">
        <v>76</v>
      </c>
      <c r="D99" s="3" t="s">
        <v>24</v>
      </c>
      <c r="E99" s="3" t="s">
        <v>58</v>
      </c>
      <c r="F99" s="3" t="s">
        <v>41</v>
      </c>
      <c r="G99" s="3" t="s">
        <v>11</v>
      </c>
      <c r="H99" s="3">
        <v>10485.0</v>
      </c>
      <c r="I99" s="3" t="s">
        <v>47</v>
      </c>
      <c r="J99" s="3">
        <v>0.3</v>
      </c>
      <c r="K99" s="3">
        <v>9000.0</v>
      </c>
      <c r="L99" s="15" t="s">
        <v>316</v>
      </c>
      <c r="M99" s="3" t="str">
        <f t="shared" si="1"/>
        <v>Target Achieved</v>
      </c>
      <c r="N99" s="10">
        <f t="shared" si="2"/>
        <v>0.5243362832</v>
      </c>
      <c r="O99" s="11">
        <f t="shared" si="3"/>
        <v>0.3</v>
      </c>
      <c r="P99" s="12">
        <f t="shared" si="4"/>
        <v>7339.5</v>
      </c>
    </row>
    <row r="100" ht="12.75" customHeight="1">
      <c r="A100" s="3" t="s">
        <v>265</v>
      </c>
      <c r="B100" s="3" t="s">
        <v>266</v>
      </c>
      <c r="C100" s="3" t="s">
        <v>45</v>
      </c>
      <c r="D100" s="3" t="s">
        <v>22</v>
      </c>
      <c r="E100" s="3" t="s">
        <v>58</v>
      </c>
      <c r="F100" s="3" t="s">
        <v>21</v>
      </c>
      <c r="G100" s="3" t="s">
        <v>11</v>
      </c>
      <c r="H100" s="3">
        <v>18605.0</v>
      </c>
      <c r="I100" s="3" t="s">
        <v>42</v>
      </c>
      <c r="K100" s="3">
        <v>17000.0</v>
      </c>
      <c r="L100" s="3" t="s">
        <v>96</v>
      </c>
      <c r="M100" s="3" t="str">
        <f t="shared" si="1"/>
        <v>Target Achieved</v>
      </c>
      <c r="N100" s="10">
        <f t="shared" si="2"/>
        <v>0.5238095238</v>
      </c>
      <c r="O100" s="11" t="str">
        <f t="shared" si="3"/>
        <v/>
      </c>
      <c r="P100" s="12">
        <f t="shared" si="4"/>
        <v>15814.25</v>
      </c>
    </row>
    <row r="101" ht="12.75" customHeight="1">
      <c r="A101" s="3" t="s">
        <v>267</v>
      </c>
      <c r="B101" s="3" t="s">
        <v>145</v>
      </c>
      <c r="C101" s="3" t="s">
        <v>18</v>
      </c>
      <c r="D101" s="3" t="s">
        <v>16</v>
      </c>
      <c r="E101" s="3" t="s">
        <v>20</v>
      </c>
      <c r="F101" s="3" t="s">
        <v>41</v>
      </c>
      <c r="G101" s="3" t="s">
        <v>13</v>
      </c>
      <c r="H101" s="3">
        <v>12988.0</v>
      </c>
      <c r="K101" s="3">
        <v>14000.0</v>
      </c>
      <c r="L101" s="15" t="s">
        <v>177</v>
      </c>
      <c r="M101" s="3" t="str">
        <f t="shared" si="1"/>
        <v>Below Target</v>
      </c>
      <c r="N101" s="10">
        <f t="shared" si="2"/>
        <v>0.5232815965</v>
      </c>
      <c r="O101" s="11">
        <f t="shared" si="3"/>
        <v>0</v>
      </c>
      <c r="P101" s="12">
        <f t="shared" si="4"/>
        <v>12988</v>
      </c>
    </row>
    <row r="102" ht="12.75" customHeight="1">
      <c r="A102" s="3" t="s">
        <v>269</v>
      </c>
      <c r="B102" s="3" t="s">
        <v>108</v>
      </c>
      <c r="C102" s="3" t="s">
        <v>57</v>
      </c>
      <c r="D102" s="3" t="s">
        <v>19</v>
      </c>
      <c r="E102" s="3" t="s">
        <v>20</v>
      </c>
      <c r="F102" s="3" t="s">
        <v>21</v>
      </c>
      <c r="G102" s="3" t="s">
        <v>12</v>
      </c>
      <c r="H102" s="3">
        <v>13915.0</v>
      </c>
      <c r="K102" s="3">
        <v>13000.0</v>
      </c>
      <c r="L102" s="3" t="s">
        <v>203</v>
      </c>
      <c r="M102" s="3" t="str">
        <f t="shared" si="1"/>
        <v>Target Achieved</v>
      </c>
      <c r="N102" s="10">
        <f t="shared" si="2"/>
        <v>0.5238623751</v>
      </c>
      <c r="O102" s="11">
        <f t="shared" si="3"/>
        <v>0</v>
      </c>
      <c r="P102" s="12">
        <f t="shared" si="4"/>
        <v>13915</v>
      </c>
    </row>
    <row r="103" ht="12.75" customHeight="1">
      <c r="A103" s="3" t="s">
        <v>271</v>
      </c>
      <c r="B103" s="3" t="s">
        <v>79</v>
      </c>
      <c r="C103" s="3" t="s">
        <v>18</v>
      </c>
      <c r="D103" s="3" t="s">
        <v>16</v>
      </c>
      <c r="E103" s="3" t="s">
        <v>58</v>
      </c>
      <c r="F103" s="3" t="s">
        <v>41</v>
      </c>
      <c r="G103" s="3" t="s">
        <v>11</v>
      </c>
      <c r="H103" s="3">
        <v>14833.0</v>
      </c>
      <c r="I103" s="3" t="s">
        <v>23</v>
      </c>
      <c r="J103" s="3">
        <v>0.2</v>
      </c>
      <c r="K103" s="3">
        <v>14000.0</v>
      </c>
      <c r="L103" s="3" t="s">
        <v>327</v>
      </c>
      <c r="M103" s="3" t="str">
        <f t="shared" si="1"/>
        <v>Target Achieved</v>
      </c>
      <c r="N103" s="10">
        <f t="shared" si="2"/>
        <v>0.5233333333</v>
      </c>
      <c r="O103" s="11">
        <f t="shared" si="3"/>
        <v>0.2</v>
      </c>
      <c r="P103" s="12">
        <f t="shared" si="4"/>
        <v>11866.4</v>
      </c>
    </row>
    <row r="104" ht="12.75" customHeight="1">
      <c r="A104" s="3" t="s">
        <v>272</v>
      </c>
      <c r="B104" s="3" t="s">
        <v>207</v>
      </c>
      <c r="C104" s="3" t="s">
        <v>45</v>
      </c>
      <c r="D104" s="3" t="s">
        <v>22</v>
      </c>
      <c r="E104" s="3" t="s">
        <v>58</v>
      </c>
      <c r="F104" s="3" t="s">
        <v>52</v>
      </c>
      <c r="G104" s="3" t="s">
        <v>12</v>
      </c>
      <c r="H104" s="3">
        <v>16408.0</v>
      </c>
      <c r="K104" s="3">
        <v>17000.0</v>
      </c>
      <c r="L104" s="3" t="s">
        <v>38</v>
      </c>
      <c r="M104" s="3" t="str">
        <f t="shared" si="1"/>
        <v>Below Target</v>
      </c>
      <c r="N104" s="10">
        <f t="shared" si="2"/>
        <v>0.5228031146</v>
      </c>
      <c r="O104" s="11">
        <f t="shared" si="3"/>
        <v>0</v>
      </c>
      <c r="P104" s="12">
        <f t="shared" si="4"/>
        <v>16408</v>
      </c>
    </row>
    <row r="105" ht="12.75" customHeight="1">
      <c r="A105" s="3" t="s">
        <v>273</v>
      </c>
      <c r="B105" s="3" t="s">
        <v>274</v>
      </c>
      <c r="C105" s="3" t="s">
        <v>45</v>
      </c>
      <c r="D105" s="3" t="s">
        <v>22</v>
      </c>
      <c r="E105" s="3" t="s">
        <v>20</v>
      </c>
      <c r="F105" s="3" t="s">
        <v>21</v>
      </c>
      <c r="G105" s="3" t="s">
        <v>11</v>
      </c>
      <c r="H105" s="3">
        <v>16255.0</v>
      </c>
      <c r="I105" s="3" t="s">
        <v>47</v>
      </c>
      <c r="J105" s="3">
        <v>0.3</v>
      </c>
      <c r="K105" s="3">
        <v>17000.0</v>
      </c>
      <c r="L105" s="3" t="s">
        <v>221</v>
      </c>
      <c r="M105" s="3" t="str">
        <f t="shared" si="1"/>
        <v>Below Target</v>
      </c>
      <c r="N105" s="10">
        <f t="shared" si="2"/>
        <v>0.5233853007</v>
      </c>
      <c r="O105" s="11">
        <f t="shared" si="3"/>
        <v>0.3</v>
      </c>
      <c r="P105" s="12">
        <f t="shared" si="4"/>
        <v>11378.5</v>
      </c>
    </row>
    <row r="106" ht="12.75" customHeight="1">
      <c r="A106" s="3" t="s">
        <v>276</v>
      </c>
      <c r="B106" s="3" t="s">
        <v>220</v>
      </c>
      <c r="C106" s="3" t="s">
        <v>57</v>
      </c>
      <c r="D106" s="3" t="s">
        <v>19</v>
      </c>
      <c r="E106" s="3" t="s">
        <v>58</v>
      </c>
      <c r="F106" s="3" t="s">
        <v>41</v>
      </c>
      <c r="G106" s="3" t="s">
        <v>12</v>
      </c>
      <c r="H106" s="3">
        <v>13194.0</v>
      </c>
      <c r="I106" s="3" t="s">
        <v>23</v>
      </c>
      <c r="J106" s="3">
        <v>0.2</v>
      </c>
      <c r="K106" s="3">
        <v>13000.0</v>
      </c>
      <c r="L106" s="3" t="s">
        <v>164</v>
      </c>
      <c r="M106" s="3" t="str">
        <f t="shared" si="1"/>
        <v>Target Achieved</v>
      </c>
      <c r="N106" s="10">
        <f t="shared" si="2"/>
        <v>0.5239687848</v>
      </c>
      <c r="O106" s="11">
        <f t="shared" si="3"/>
        <v>0.2</v>
      </c>
      <c r="P106" s="12">
        <f t="shared" si="4"/>
        <v>10555.2</v>
      </c>
    </row>
    <row r="107" ht="12.75" customHeight="1">
      <c r="A107" s="3" t="s">
        <v>277</v>
      </c>
      <c r="B107" s="3" t="s">
        <v>278</v>
      </c>
      <c r="C107" s="3" t="s">
        <v>76</v>
      </c>
      <c r="D107" s="3" t="s">
        <v>24</v>
      </c>
      <c r="E107" s="3" t="s">
        <v>58</v>
      </c>
      <c r="F107" s="3" t="s">
        <v>52</v>
      </c>
      <c r="G107" s="3" t="s">
        <v>12</v>
      </c>
      <c r="H107" s="3">
        <v>11000.0</v>
      </c>
      <c r="I107" s="3" t="s">
        <v>42</v>
      </c>
      <c r="K107" s="3">
        <v>9000.0</v>
      </c>
      <c r="L107" s="15" t="s">
        <v>130</v>
      </c>
      <c r="M107" s="3" t="str">
        <f t="shared" si="1"/>
        <v>Target Achieved</v>
      </c>
      <c r="N107" s="10">
        <f t="shared" si="2"/>
        <v>0.5234375</v>
      </c>
      <c r="O107" s="11" t="str">
        <f t="shared" si="3"/>
        <v/>
      </c>
      <c r="P107" s="12">
        <f t="shared" si="4"/>
        <v>9350</v>
      </c>
    </row>
    <row r="108" ht="12.75" customHeight="1">
      <c r="A108" s="3" t="s">
        <v>279</v>
      </c>
      <c r="B108" s="3" t="s">
        <v>280</v>
      </c>
      <c r="C108" s="3" t="s">
        <v>57</v>
      </c>
      <c r="D108" s="3" t="s">
        <v>19</v>
      </c>
      <c r="E108" s="3" t="s">
        <v>58</v>
      </c>
      <c r="F108" s="3" t="s">
        <v>41</v>
      </c>
      <c r="G108" s="3" t="s">
        <v>11</v>
      </c>
      <c r="H108" s="3">
        <v>11734.0</v>
      </c>
      <c r="I108" s="3" t="s">
        <v>47</v>
      </c>
      <c r="J108" s="3">
        <v>0.3</v>
      </c>
      <c r="K108" s="3">
        <v>13000.0</v>
      </c>
      <c r="L108" s="15" t="s">
        <v>308</v>
      </c>
      <c r="M108" s="3" t="str">
        <f t="shared" si="1"/>
        <v>Below Target</v>
      </c>
      <c r="N108" s="10">
        <f t="shared" si="2"/>
        <v>0.5229050279</v>
      </c>
      <c r="O108" s="11">
        <f t="shared" si="3"/>
        <v>0.3</v>
      </c>
      <c r="P108" s="12">
        <f t="shared" si="4"/>
        <v>8213.8</v>
      </c>
    </row>
    <row r="109" ht="12.75" customHeight="1">
      <c r="A109" s="3" t="s">
        <v>281</v>
      </c>
      <c r="B109" s="3" t="s">
        <v>136</v>
      </c>
      <c r="C109" s="3" t="s">
        <v>57</v>
      </c>
      <c r="D109" s="3" t="s">
        <v>19</v>
      </c>
      <c r="E109" s="3" t="s">
        <v>58</v>
      </c>
      <c r="F109" s="3" t="s">
        <v>41</v>
      </c>
      <c r="G109" s="3" t="s">
        <v>13</v>
      </c>
      <c r="H109" s="3">
        <v>13266.0</v>
      </c>
      <c r="I109" s="3" t="s">
        <v>47</v>
      </c>
      <c r="J109" s="3">
        <v>0.3</v>
      </c>
      <c r="K109" s="3">
        <v>13000.0</v>
      </c>
      <c r="L109" s="3" t="s">
        <v>96</v>
      </c>
      <c r="M109" s="3" t="str">
        <f t="shared" si="1"/>
        <v>Target Achieved</v>
      </c>
      <c r="N109" s="10">
        <f t="shared" si="2"/>
        <v>0.5234899329</v>
      </c>
      <c r="O109" s="11">
        <f t="shared" si="3"/>
        <v>0.3</v>
      </c>
      <c r="P109" s="12">
        <f t="shared" si="4"/>
        <v>9286.2</v>
      </c>
    </row>
    <row r="110" ht="12.75" customHeight="1">
      <c r="A110" s="3" t="s">
        <v>282</v>
      </c>
      <c r="B110" s="3" t="s">
        <v>148</v>
      </c>
      <c r="C110" s="3" t="s">
        <v>76</v>
      </c>
      <c r="D110" s="3" t="s">
        <v>24</v>
      </c>
      <c r="E110" s="3" t="s">
        <v>46</v>
      </c>
      <c r="F110" s="3" t="s">
        <v>41</v>
      </c>
      <c r="G110" s="3" t="s">
        <v>12</v>
      </c>
      <c r="H110" s="3">
        <v>8164.0</v>
      </c>
      <c r="K110" s="3">
        <v>9000.0</v>
      </c>
      <c r="L110" s="3" t="s">
        <v>283</v>
      </c>
      <c r="M110" s="3" t="str">
        <f t="shared" si="1"/>
        <v>Below Target</v>
      </c>
      <c r="N110" s="10">
        <f t="shared" si="2"/>
        <v>0.522956327</v>
      </c>
      <c r="O110" s="11">
        <f t="shared" si="3"/>
        <v>0</v>
      </c>
      <c r="P110" s="12">
        <f t="shared" si="4"/>
        <v>8164</v>
      </c>
    </row>
    <row r="111" ht="12.75" customHeight="1">
      <c r="A111" s="3" t="s">
        <v>284</v>
      </c>
      <c r="B111" s="3" t="s">
        <v>240</v>
      </c>
      <c r="C111" s="3" t="s">
        <v>57</v>
      </c>
      <c r="D111" s="3" t="s">
        <v>19</v>
      </c>
      <c r="E111" s="3" t="s">
        <v>46</v>
      </c>
      <c r="F111" s="3" t="s">
        <v>21</v>
      </c>
      <c r="G111" s="3" t="s">
        <v>11</v>
      </c>
      <c r="H111" s="3">
        <v>11467.0</v>
      </c>
      <c r="I111" s="3" t="s">
        <v>37</v>
      </c>
      <c r="J111" s="3">
        <v>0.1</v>
      </c>
      <c r="K111" s="3">
        <v>13000.0</v>
      </c>
      <c r="L111" s="3" t="s">
        <v>314</v>
      </c>
      <c r="M111" s="3" t="str">
        <f t="shared" si="1"/>
        <v>Below Target</v>
      </c>
      <c r="N111" s="10">
        <f t="shared" si="2"/>
        <v>0.5235426009</v>
      </c>
      <c r="O111" s="11">
        <f t="shared" si="3"/>
        <v>0.1</v>
      </c>
      <c r="P111" s="12">
        <f t="shared" si="4"/>
        <v>10320.3</v>
      </c>
    </row>
    <row r="112" ht="12.75" customHeight="1">
      <c r="A112" s="3" t="s">
        <v>285</v>
      </c>
      <c r="B112" s="3" t="s">
        <v>286</v>
      </c>
      <c r="C112" s="3" t="s">
        <v>18</v>
      </c>
      <c r="D112" s="3" t="s">
        <v>16</v>
      </c>
      <c r="E112" s="3" t="s">
        <v>46</v>
      </c>
      <c r="F112" s="3" t="s">
        <v>41</v>
      </c>
      <c r="G112" s="3" t="s">
        <v>12</v>
      </c>
      <c r="H112" s="3">
        <v>15887.0</v>
      </c>
      <c r="I112" s="3" t="s">
        <v>47</v>
      </c>
      <c r="J112" s="3">
        <v>0.3</v>
      </c>
      <c r="K112" s="3">
        <v>14000.0</v>
      </c>
      <c r="L112" s="15" t="s">
        <v>123</v>
      </c>
      <c r="M112" s="3" t="str">
        <f t="shared" si="1"/>
        <v>Target Achieved</v>
      </c>
      <c r="N112" s="10">
        <f t="shared" si="2"/>
        <v>0.5241301908</v>
      </c>
      <c r="O112" s="11">
        <f t="shared" si="3"/>
        <v>0.3</v>
      </c>
      <c r="P112" s="12">
        <f t="shared" si="4"/>
        <v>11120.9</v>
      </c>
    </row>
    <row r="113" ht="12.75" customHeight="1">
      <c r="A113" s="3" t="s">
        <v>287</v>
      </c>
      <c r="B113" s="3" t="s">
        <v>288</v>
      </c>
      <c r="C113" s="3" t="s">
        <v>76</v>
      </c>
      <c r="D113" s="3" t="s">
        <v>24</v>
      </c>
      <c r="E113" s="3" t="s">
        <v>20</v>
      </c>
      <c r="F113" s="3" t="s">
        <v>52</v>
      </c>
      <c r="G113" s="3" t="s">
        <v>12</v>
      </c>
      <c r="H113" s="3">
        <v>7924.0</v>
      </c>
      <c r="I113" s="3" t="s">
        <v>42</v>
      </c>
      <c r="K113" s="3">
        <v>9000.0</v>
      </c>
      <c r="L113" s="3" t="s">
        <v>88</v>
      </c>
      <c r="M113" s="3" t="str">
        <f t="shared" si="1"/>
        <v>Below Target</v>
      </c>
      <c r="N113" s="10">
        <f t="shared" si="2"/>
        <v>0.5235955056</v>
      </c>
      <c r="O113" s="11" t="str">
        <f t="shared" si="3"/>
        <v/>
      </c>
      <c r="P113" s="12">
        <f t="shared" si="4"/>
        <v>6735.4</v>
      </c>
    </row>
    <row r="114" ht="12.75" customHeight="1">
      <c r="A114" s="3" t="s">
        <v>289</v>
      </c>
      <c r="B114" s="3" t="s">
        <v>290</v>
      </c>
      <c r="C114" s="3" t="s">
        <v>45</v>
      </c>
      <c r="D114" s="3" t="s">
        <v>22</v>
      </c>
      <c r="E114" s="3" t="s">
        <v>20</v>
      </c>
      <c r="F114" s="3" t="s">
        <v>21</v>
      </c>
      <c r="G114" s="3" t="s">
        <v>11</v>
      </c>
      <c r="H114" s="3">
        <v>17329.0</v>
      </c>
      <c r="I114" s="3" t="s">
        <v>42</v>
      </c>
      <c r="K114" s="3">
        <v>17000.0</v>
      </c>
      <c r="L114" s="15" t="s">
        <v>347</v>
      </c>
      <c r="M114" s="3" t="str">
        <f t="shared" si="1"/>
        <v>Target Achieved</v>
      </c>
      <c r="N114" s="10">
        <f t="shared" si="2"/>
        <v>0.5241844769</v>
      </c>
      <c r="O114" s="11" t="str">
        <f t="shared" si="3"/>
        <v/>
      </c>
      <c r="P114" s="12">
        <f t="shared" si="4"/>
        <v>14729.65</v>
      </c>
    </row>
    <row r="115" ht="12.75" customHeight="1">
      <c r="A115" s="3" t="s">
        <v>291</v>
      </c>
      <c r="B115" s="3" t="s">
        <v>292</v>
      </c>
      <c r="C115" s="3" t="s">
        <v>18</v>
      </c>
      <c r="D115" s="3" t="s">
        <v>16</v>
      </c>
      <c r="E115" s="3" t="s">
        <v>46</v>
      </c>
      <c r="F115" s="3" t="s">
        <v>52</v>
      </c>
      <c r="G115" s="3" t="s">
        <v>13</v>
      </c>
      <c r="H115" s="3">
        <v>13083.0</v>
      </c>
      <c r="I115" s="3" t="s">
        <v>37</v>
      </c>
      <c r="J115" s="3">
        <v>0.1</v>
      </c>
      <c r="K115" s="3">
        <v>14000.0</v>
      </c>
      <c r="L115" s="15" t="s">
        <v>103</v>
      </c>
      <c r="M115" s="3" t="str">
        <f t="shared" si="1"/>
        <v>Below Target</v>
      </c>
      <c r="N115" s="10">
        <f t="shared" si="2"/>
        <v>0.5236486486</v>
      </c>
      <c r="O115" s="11">
        <f t="shared" si="3"/>
        <v>0.1</v>
      </c>
      <c r="P115" s="12">
        <f t="shared" si="4"/>
        <v>11774.7</v>
      </c>
    </row>
    <row r="116" ht="12.75" customHeight="1">
      <c r="A116" s="3" t="s">
        <v>293</v>
      </c>
      <c r="B116" s="3" t="s">
        <v>294</v>
      </c>
      <c r="C116" s="3" t="s">
        <v>18</v>
      </c>
      <c r="D116" s="3" t="s">
        <v>16</v>
      </c>
      <c r="E116" s="3" t="s">
        <v>46</v>
      </c>
      <c r="F116" s="3" t="s">
        <v>41</v>
      </c>
      <c r="G116" s="3" t="s">
        <v>11</v>
      </c>
      <c r="H116" s="3">
        <v>13845.0</v>
      </c>
      <c r="I116" s="3" t="s">
        <v>42</v>
      </c>
      <c r="K116" s="3">
        <v>14000.0</v>
      </c>
      <c r="L116" s="3" t="s">
        <v>283</v>
      </c>
      <c r="M116" s="3" t="str">
        <f t="shared" si="1"/>
        <v>Below Target</v>
      </c>
      <c r="N116" s="10">
        <f t="shared" si="2"/>
        <v>0.5242390079</v>
      </c>
      <c r="O116" s="11" t="str">
        <f t="shared" si="3"/>
        <v/>
      </c>
      <c r="P116" s="12">
        <f t="shared" si="4"/>
        <v>11768.25</v>
      </c>
    </row>
    <row r="117" ht="12.75" customHeight="1">
      <c r="A117" s="3" t="s">
        <v>295</v>
      </c>
      <c r="B117" s="3" t="s">
        <v>296</v>
      </c>
      <c r="C117" s="3" t="s">
        <v>57</v>
      </c>
      <c r="D117" s="3" t="s">
        <v>19</v>
      </c>
      <c r="E117" s="3" t="s">
        <v>58</v>
      </c>
      <c r="F117" s="3" t="s">
        <v>52</v>
      </c>
      <c r="G117" s="3" t="s">
        <v>11</v>
      </c>
      <c r="H117" s="3">
        <v>13879.0</v>
      </c>
      <c r="K117" s="3">
        <v>13000.0</v>
      </c>
      <c r="L117" s="15" t="s">
        <v>109</v>
      </c>
      <c r="M117" s="3" t="str">
        <f t="shared" si="1"/>
        <v>Target Achieved</v>
      </c>
      <c r="N117" s="10">
        <f t="shared" si="2"/>
        <v>0.5248306998</v>
      </c>
      <c r="O117" s="11">
        <f t="shared" si="3"/>
        <v>0</v>
      </c>
      <c r="P117" s="12">
        <f t="shared" si="4"/>
        <v>13879</v>
      </c>
    </row>
    <row r="118" ht="12.75" customHeight="1">
      <c r="A118" s="3" t="s">
        <v>297</v>
      </c>
      <c r="B118" s="3" t="s">
        <v>298</v>
      </c>
      <c r="C118" s="3" t="s">
        <v>45</v>
      </c>
      <c r="D118" s="3" t="s">
        <v>22</v>
      </c>
      <c r="E118" s="3" t="s">
        <v>20</v>
      </c>
      <c r="F118" s="3" t="s">
        <v>52</v>
      </c>
      <c r="G118" s="3" t="s">
        <v>12</v>
      </c>
      <c r="H118" s="3">
        <v>18292.0</v>
      </c>
      <c r="I118" s="3" t="s">
        <v>23</v>
      </c>
      <c r="J118" s="3">
        <v>0.2</v>
      </c>
      <c r="K118" s="3">
        <v>17000.0</v>
      </c>
      <c r="L118" s="3" t="s">
        <v>117</v>
      </c>
      <c r="M118" s="3" t="str">
        <f t="shared" si="1"/>
        <v>Target Achieved</v>
      </c>
      <c r="N118" s="10">
        <f t="shared" si="2"/>
        <v>0.5242937853</v>
      </c>
      <c r="O118" s="11">
        <f t="shared" si="3"/>
        <v>0.2</v>
      </c>
      <c r="P118" s="12">
        <f t="shared" si="4"/>
        <v>14633.6</v>
      </c>
    </row>
    <row r="119" ht="12.75" customHeight="1">
      <c r="A119" s="3" t="s">
        <v>299</v>
      </c>
      <c r="B119" s="3" t="s">
        <v>300</v>
      </c>
      <c r="C119" s="3" t="s">
        <v>57</v>
      </c>
      <c r="D119" s="3" t="s">
        <v>19</v>
      </c>
      <c r="E119" s="3" t="s">
        <v>20</v>
      </c>
      <c r="F119" s="3" t="s">
        <v>41</v>
      </c>
      <c r="G119" s="3" t="s">
        <v>11</v>
      </c>
      <c r="H119" s="3">
        <v>14385.0</v>
      </c>
      <c r="I119" s="3" t="s">
        <v>23</v>
      </c>
      <c r="J119" s="3">
        <v>0.2</v>
      </c>
      <c r="K119" s="3">
        <v>13000.0</v>
      </c>
      <c r="L119" s="15" t="s">
        <v>109</v>
      </c>
      <c r="M119" s="3" t="str">
        <f t="shared" si="1"/>
        <v>Target Achieved</v>
      </c>
      <c r="N119" s="10">
        <f t="shared" si="2"/>
        <v>0.5237556561</v>
      </c>
      <c r="O119" s="11">
        <f t="shared" si="3"/>
        <v>0.2</v>
      </c>
      <c r="P119" s="12">
        <f t="shared" si="4"/>
        <v>11508</v>
      </c>
    </row>
    <row r="120" ht="12.75" customHeight="1">
      <c r="A120" s="3" t="s">
        <v>301</v>
      </c>
      <c r="B120" s="3" t="s">
        <v>302</v>
      </c>
      <c r="C120" s="3" t="s">
        <v>45</v>
      </c>
      <c r="D120" s="3" t="s">
        <v>22</v>
      </c>
      <c r="E120" s="3" t="s">
        <v>20</v>
      </c>
      <c r="F120" s="3" t="s">
        <v>52</v>
      </c>
      <c r="G120" s="3" t="s">
        <v>12</v>
      </c>
      <c r="H120" s="3">
        <v>18773.0</v>
      </c>
      <c r="I120" s="3" t="s">
        <v>47</v>
      </c>
      <c r="J120" s="3">
        <v>0.3</v>
      </c>
      <c r="K120" s="3">
        <v>17000.0</v>
      </c>
      <c r="L120" s="3" t="s">
        <v>203</v>
      </c>
      <c r="M120" s="3" t="str">
        <f t="shared" si="1"/>
        <v>Target Achieved</v>
      </c>
      <c r="N120" s="10">
        <f t="shared" si="2"/>
        <v>0.523216308</v>
      </c>
      <c r="O120" s="11">
        <f t="shared" si="3"/>
        <v>0.3</v>
      </c>
      <c r="P120" s="12">
        <f t="shared" si="4"/>
        <v>13141.1</v>
      </c>
    </row>
    <row r="121" ht="12.75" customHeight="1">
      <c r="A121" s="3" t="s">
        <v>304</v>
      </c>
      <c r="B121" s="3" t="s">
        <v>305</v>
      </c>
      <c r="C121" s="3" t="s">
        <v>45</v>
      </c>
      <c r="D121" s="3" t="s">
        <v>22</v>
      </c>
      <c r="E121" s="3" t="s">
        <v>20</v>
      </c>
      <c r="F121" s="3" t="s">
        <v>21</v>
      </c>
      <c r="G121" s="3" t="s">
        <v>11</v>
      </c>
      <c r="H121" s="3">
        <v>17049.0</v>
      </c>
      <c r="I121" s="3" t="s">
        <v>42</v>
      </c>
      <c r="K121" s="3">
        <v>17000.0</v>
      </c>
      <c r="L121" s="15" t="s">
        <v>177</v>
      </c>
      <c r="M121" s="3" t="str">
        <f t="shared" si="1"/>
        <v>Target Achieved</v>
      </c>
      <c r="N121" s="10">
        <f t="shared" si="2"/>
        <v>0.522675737</v>
      </c>
      <c r="O121" s="11" t="str">
        <f t="shared" si="3"/>
        <v/>
      </c>
      <c r="P121" s="12">
        <f t="shared" si="4"/>
        <v>14491.65</v>
      </c>
    </row>
    <row r="122" ht="12.75" customHeight="1">
      <c r="A122" s="3" t="s">
        <v>306</v>
      </c>
      <c r="B122" s="3" t="s">
        <v>286</v>
      </c>
      <c r="C122" s="3" t="s">
        <v>18</v>
      </c>
      <c r="D122" s="3" t="s">
        <v>16</v>
      </c>
      <c r="E122" s="3" t="s">
        <v>58</v>
      </c>
      <c r="F122" s="3" t="s">
        <v>52</v>
      </c>
      <c r="G122" s="3" t="s">
        <v>11</v>
      </c>
      <c r="H122" s="3">
        <v>14472.0</v>
      </c>
      <c r="I122" s="3" t="s">
        <v>47</v>
      </c>
      <c r="J122" s="3">
        <v>0.3</v>
      </c>
      <c r="K122" s="3">
        <v>14000.0</v>
      </c>
      <c r="L122" s="15" t="s">
        <v>211</v>
      </c>
      <c r="M122" s="3" t="str">
        <f t="shared" si="1"/>
        <v>Target Achieved</v>
      </c>
      <c r="N122" s="10">
        <f t="shared" si="2"/>
        <v>0.5221339387</v>
      </c>
      <c r="O122" s="11">
        <f t="shared" si="3"/>
        <v>0.3</v>
      </c>
      <c r="P122" s="12">
        <f t="shared" si="4"/>
        <v>10130.4</v>
      </c>
    </row>
    <row r="123" ht="12.75" customHeight="1">
      <c r="A123" s="3" t="s">
        <v>309</v>
      </c>
      <c r="B123" s="3" t="s">
        <v>310</v>
      </c>
      <c r="C123" s="3" t="s">
        <v>18</v>
      </c>
      <c r="D123" s="3" t="s">
        <v>16</v>
      </c>
      <c r="E123" s="3" t="s">
        <v>20</v>
      </c>
      <c r="F123" s="3" t="s">
        <v>21</v>
      </c>
      <c r="G123" s="3" t="s">
        <v>12</v>
      </c>
      <c r="H123" s="3">
        <v>12164.0</v>
      </c>
      <c r="I123" s="3" t="s">
        <v>23</v>
      </c>
      <c r="J123" s="3">
        <v>0.2</v>
      </c>
      <c r="K123" s="3">
        <v>14000.0</v>
      </c>
      <c r="L123" s="3" t="s">
        <v>283</v>
      </c>
      <c r="M123" s="3" t="str">
        <f t="shared" si="1"/>
        <v>Below Target</v>
      </c>
      <c r="N123" s="10">
        <f t="shared" si="2"/>
        <v>0.5215909091</v>
      </c>
      <c r="O123" s="11">
        <f t="shared" si="3"/>
        <v>0.2</v>
      </c>
      <c r="P123" s="12">
        <f t="shared" si="4"/>
        <v>9731.2</v>
      </c>
    </row>
    <row r="124" ht="12.75" customHeight="1">
      <c r="A124" s="3" t="s">
        <v>311</v>
      </c>
      <c r="B124" s="3" t="s">
        <v>255</v>
      </c>
      <c r="C124" s="3" t="s">
        <v>76</v>
      </c>
      <c r="D124" s="3" t="s">
        <v>24</v>
      </c>
      <c r="E124" s="3" t="s">
        <v>58</v>
      </c>
      <c r="F124" s="3" t="s">
        <v>41</v>
      </c>
      <c r="G124" s="3" t="s">
        <v>12</v>
      </c>
      <c r="H124" s="3">
        <v>8785.0</v>
      </c>
      <c r="K124" s="3">
        <v>9000.0</v>
      </c>
      <c r="L124" s="15" t="s">
        <v>123</v>
      </c>
      <c r="M124" s="3" t="str">
        <f t="shared" si="1"/>
        <v>Below Target</v>
      </c>
      <c r="N124" s="10">
        <f t="shared" si="2"/>
        <v>0.5221843003</v>
      </c>
      <c r="O124" s="11">
        <f t="shared" si="3"/>
        <v>0</v>
      </c>
      <c r="P124" s="12">
        <f t="shared" si="4"/>
        <v>8785</v>
      </c>
    </row>
    <row r="125" ht="12.75" customHeight="1">
      <c r="A125" s="3" t="s">
        <v>315</v>
      </c>
      <c r="B125" s="3" t="s">
        <v>240</v>
      </c>
      <c r="C125" s="3" t="s">
        <v>76</v>
      </c>
      <c r="D125" s="3" t="s">
        <v>24</v>
      </c>
      <c r="E125" s="3" t="s">
        <v>58</v>
      </c>
      <c r="F125" s="3" t="s">
        <v>21</v>
      </c>
      <c r="G125" s="3" t="s">
        <v>12</v>
      </c>
      <c r="H125" s="3">
        <v>7428.0</v>
      </c>
      <c r="I125" s="3" t="s">
        <v>23</v>
      </c>
      <c r="J125" s="3">
        <v>0.2</v>
      </c>
      <c r="K125" s="3">
        <v>9000.0</v>
      </c>
      <c r="L125" s="3" t="s">
        <v>332</v>
      </c>
      <c r="M125" s="3" t="str">
        <f t="shared" si="1"/>
        <v>Below Target</v>
      </c>
      <c r="N125" s="10">
        <f t="shared" si="2"/>
        <v>0.5227790433</v>
      </c>
      <c r="O125" s="11">
        <f t="shared" si="3"/>
        <v>0.2</v>
      </c>
      <c r="P125" s="12">
        <f t="shared" si="4"/>
        <v>5942.4</v>
      </c>
    </row>
    <row r="126" ht="12.75" customHeight="1">
      <c r="A126" s="3" t="s">
        <v>318</v>
      </c>
      <c r="B126" s="3" t="s">
        <v>134</v>
      </c>
      <c r="C126" s="3" t="s">
        <v>76</v>
      </c>
      <c r="D126" s="3" t="s">
        <v>24</v>
      </c>
      <c r="E126" s="3" t="s">
        <v>58</v>
      </c>
      <c r="F126" s="3" t="s">
        <v>52</v>
      </c>
      <c r="G126" s="3" t="s">
        <v>11</v>
      </c>
      <c r="H126" s="3">
        <v>10332.0</v>
      </c>
      <c r="I126" s="3" t="s">
        <v>42</v>
      </c>
      <c r="K126" s="3">
        <v>9000.0</v>
      </c>
      <c r="L126" s="15" t="s">
        <v>341</v>
      </c>
      <c r="M126" s="3" t="str">
        <f t="shared" si="1"/>
        <v>Target Achieved</v>
      </c>
      <c r="N126" s="10">
        <f t="shared" si="2"/>
        <v>0.5233751425</v>
      </c>
      <c r="O126" s="11" t="str">
        <f t="shared" si="3"/>
        <v/>
      </c>
      <c r="P126" s="12">
        <f t="shared" si="4"/>
        <v>8782.2</v>
      </c>
    </row>
    <row r="127" ht="12.75" customHeight="1">
      <c r="A127" s="3" t="s">
        <v>321</v>
      </c>
      <c r="B127" s="3" t="s">
        <v>286</v>
      </c>
      <c r="C127" s="3" t="s">
        <v>45</v>
      </c>
      <c r="D127" s="3" t="s">
        <v>22</v>
      </c>
      <c r="E127" s="3" t="s">
        <v>58</v>
      </c>
      <c r="F127" s="3" t="s">
        <v>21</v>
      </c>
      <c r="G127" s="3" t="s">
        <v>13</v>
      </c>
      <c r="H127" s="3">
        <v>18973.0</v>
      </c>
      <c r="K127" s="3">
        <v>17000.0</v>
      </c>
      <c r="L127" s="3" t="s">
        <v>139</v>
      </c>
      <c r="M127" s="3" t="str">
        <f t="shared" si="1"/>
        <v>Target Achieved</v>
      </c>
      <c r="N127" s="10">
        <f t="shared" si="2"/>
        <v>0.5228310502</v>
      </c>
      <c r="O127" s="11">
        <f t="shared" si="3"/>
        <v>0</v>
      </c>
      <c r="P127" s="12">
        <f t="shared" si="4"/>
        <v>18973</v>
      </c>
    </row>
    <row r="128" ht="12.75" customHeight="1">
      <c r="A128" s="3" t="s">
        <v>325</v>
      </c>
      <c r="B128" s="3" t="s">
        <v>138</v>
      </c>
      <c r="C128" s="3" t="s">
        <v>18</v>
      </c>
      <c r="D128" s="3" t="s">
        <v>16</v>
      </c>
      <c r="E128" s="3" t="s">
        <v>20</v>
      </c>
      <c r="F128" s="3" t="s">
        <v>52</v>
      </c>
      <c r="G128" s="3" t="s">
        <v>11</v>
      </c>
      <c r="H128" s="3">
        <v>13692.0</v>
      </c>
      <c r="I128" s="3" t="s">
        <v>37</v>
      </c>
      <c r="J128" s="3">
        <v>0.1</v>
      </c>
      <c r="K128" s="3">
        <v>14000.0</v>
      </c>
      <c r="L128" s="3" t="s">
        <v>164</v>
      </c>
      <c r="M128" s="3" t="str">
        <f t="shared" si="1"/>
        <v>Below Target</v>
      </c>
      <c r="N128" s="10">
        <f t="shared" si="2"/>
        <v>0.5222857143</v>
      </c>
      <c r="O128" s="11">
        <f t="shared" si="3"/>
        <v>0.1</v>
      </c>
      <c r="P128" s="12">
        <f t="shared" si="4"/>
        <v>12322.8</v>
      </c>
    </row>
    <row r="129" ht="12.75" customHeight="1">
      <c r="A129" s="3" t="s">
        <v>326</v>
      </c>
      <c r="B129" s="3" t="s">
        <v>274</v>
      </c>
      <c r="C129" s="3" t="s">
        <v>76</v>
      </c>
      <c r="D129" s="3" t="s">
        <v>24</v>
      </c>
      <c r="E129" s="3" t="s">
        <v>20</v>
      </c>
      <c r="F129" s="3" t="s">
        <v>21</v>
      </c>
      <c r="G129" s="3" t="s">
        <v>13</v>
      </c>
      <c r="H129" s="3">
        <v>7833.0</v>
      </c>
      <c r="I129" s="3" t="s">
        <v>47</v>
      </c>
      <c r="J129" s="3">
        <v>0.3</v>
      </c>
      <c r="K129" s="3">
        <v>9000.0</v>
      </c>
      <c r="L129" s="15" t="s">
        <v>349</v>
      </c>
      <c r="M129" s="3" t="str">
        <f t="shared" si="1"/>
        <v>Below Target</v>
      </c>
      <c r="N129" s="10">
        <f t="shared" si="2"/>
        <v>0.5228832952</v>
      </c>
      <c r="O129" s="11">
        <f t="shared" si="3"/>
        <v>0.3</v>
      </c>
      <c r="P129" s="12">
        <f t="shared" si="4"/>
        <v>5483.1</v>
      </c>
    </row>
    <row r="130" ht="12.75" customHeight="1">
      <c r="A130" s="3" t="s">
        <v>329</v>
      </c>
      <c r="B130" s="3" t="s">
        <v>331</v>
      </c>
      <c r="C130" s="3" t="s">
        <v>76</v>
      </c>
      <c r="D130" s="3" t="s">
        <v>24</v>
      </c>
      <c r="E130" s="3" t="s">
        <v>20</v>
      </c>
      <c r="F130" s="3" t="s">
        <v>21</v>
      </c>
      <c r="G130" s="3" t="s">
        <v>13</v>
      </c>
      <c r="H130" s="3">
        <v>7118.0</v>
      </c>
      <c r="I130" s="3" t="s">
        <v>42</v>
      </c>
      <c r="K130" s="3">
        <v>9000.0</v>
      </c>
      <c r="L130" s="3" t="s">
        <v>330</v>
      </c>
      <c r="M130" s="3" t="str">
        <f t="shared" si="1"/>
        <v>Below Target</v>
      </c>
      <c r="N130" s="10">
        <f t="shared" si="2"/>
        <v>0.5234822451</v>
      </c>
      <c r="O130" s="11" t="str">
        <f t="shared" si="3"/>
        <v/>
      </c>
      <c r="P130" s="12">
        <f t="shared" si="4"/>
        <v>6050.3</v>
      </c>
    </row>
    <row r="131" ht="12.75" customHeight="1">
      <c r="A131" s="3" t="s">
        <v>335</v>
      </c>
      <c r="B131" s="3" t="s">
        <v>278</v>
      </c>
      <c r="C131" s="3" t="s">
        <v>57</v>
      </c>
      <c r="D131" s="3" t="s">
        <v>19</v>
      </c>
      <c r="E131" s="3" t="s">
        <v>58</v>
      </c>
      <c r="F131" s="3" t="s">
        <v>52</v>
      </c>
      <c r="G131" s="3" t="s">
        <v>13</v>
      </c>
      <c r="H131" s="3">
        <v>13262.0</v>
      </c>
      <c r="K131" s="3">
        <v>13000.0</v>
      </c>
      <c r="L131" s="15" t="s">
        <v>123</v>
      </c>
      <c r="M131" s="3" t="str">
        <f t="shared" si="1"/>
        <v>Target Achieved</v>
      </c>
      <c r="N131" s="10">
        <f t="shared" si="2"/>
        <v>0.5240825688</v>
      </c>
      <c r="O131" s="11">
        <f t="shared" si="3"/>
        <v>0</v>
      </c>
      <c r="P131" s="12">
        <f t="shared" si="4"/>
        <v>13262</v>
      </c>
    </row>
    <row r="132" ht="12.75" customHeight="1">
      <c r="A132" s="3" t="s">
        <v>339</v>
      </c>
      <c r="B132" s="3" t="s">
        <v>218</v>
      </c>
      <c r="C132" s="3" t="s">
        <v>18</v>
      </c>
      <c r="D132" s="3" t="s">
        <v>16</v>
      </c>
      <c r="E132" s="3" t="s">
        <v>58</v>
      </c>
      <c r="F132" s="3" t="s">
        <v>41</v>
      </c>
      <c r="G132" s="3" t="s">
        <v>12</v>
      </c>
      <c r="H132" s="3">
        <v>15408.0</v>
      </c>
      <c r="I132" s="3" t="s">
        <v>23</v>
      </c>
      <c r="J132" s="3">
        <v>0.2</v>
      </c>
      <c r="K132" s="3">
        <v>14000.0</v>
      </c>
      <c r="L132" s="15" t="s">
        <v>177</v>
      </c>
      <c r="M132" s="3" t="str">
        <f t="shared" si="1"/>
        <v>Target Achieved</v>
      </c>
      <c r="N132" s="10">
        <f t="shared" si="2"/>
        <v>0.5235361653</v>
      </c>
      <c r="O132" s="11">
        <f t="shared" si="3"/>
        <v>0.2</v>
      </c>
      <c r="P132" s="12">
        <f t="shared" si="4"/>
        <v>12326.4</v>
      </c>
    </row>
    <row r="133" ht="12.75" customHeight="1">
      <c r="A133" s="3" t="s">
        <v>342</v>
      </c>
      <c r="B133" s="3" t="s">
        <v>343</v>
      </c>
      <c r="C133" s="3" t="s">
        <v>45</v>
      </c>
      <c r="D133" s="3" t="s">
        <v>22</v>
      </c>
      <c r="E133" s="3" t="s">
        <v>20</v>
      </c>
      <c r="F133" s="3" t="s">
        <v>52</v>
      </c>
      <c r="G133" s="3" t="s">
        <v>11</v>
      </c>
      <c r="H133" s="3">
        <v>16701.0</v>
      </c>
      <c r="K133" s="3">
        <v>17000.0</v>
      </c>
      <c r="L133" s="3" t="s">
        <v>283</v>
      </c>
      <c r="M133" s="3" t="str">
        <f t="shared" si="1"/>
        <v>Below Target</v>
      </c>
      <c r="N133" s="10">
        <f t="shared" si="2"/>
        <v>0.5229885057</v>
      </c>
      <c r="O133" s="11">
        <f t="shared" si="3"/>
        <v>0</v>
      </c>
      <c r="P133" s="12">
        <f t="shared" si="4"/>
        <v>16701</v>
      </c>
    </row>
    <row r="134" ht="12.75" customHeight="1">
      <c r="A134" s="3" t="s">
        <v>346</v>
      </c>
      <c r="B134" s="3" t="s">
        <v>44</v>
      </c>
      <c r="C134" s="3" t="s">
        <v>57</v>
      </c>
      <c r="D134" s="3" t="s">
        <v>19</v>
      </c>
      <c r="E134" s="3" t="s">
        <v>58</v>
      </c>
      <c r="F134" s="3" t="s">
        <v>41</v>
      </c>
      <c r="G134" s="3" t="s">
        <v>12</v>
      </c>
      <c r="H134" s="3">
        <v>13081.0</v>
      </c>
      <c r="I134" s="3" t="s">
        <v>23</v>
      </c>
      <c r="J134" s="3">
        <v>0.2</v>
      </c>
      <c r="K134" s="3">
        <v>13000.0</v>
      </c>
      <c r="L134" s="3" t="s">
        <v>139</v>
      </c>
      <c r="M134" s="3" t="str">
        <f t="shared" si="1"/>
        <v>Target Achieved</v>
      </c>
      <c r="N134" s="10">
        <f t="shared" si="2"/>
        <v>0.5235903337</v>
      </c>
      <c r="O134" s="11">
        <f t="shared" si="3"/>
        <v>0.2</v>
      </c>
      <c r="P134" s="12">
        <f t="shared" si="4"/>
        <v>10464.8</v>
      </c>
    </row>
    <row r="135" ht="12.75" customHeight="1">
      <c r="A135" s="3" t="s">
        <v>350</v>
      </c>
      <c r="B135" s="3" t="s">
        <v>351</v>
      </c>
      <c r="C135" s="3" t="s">
        <v>76</v>
      </c>
      <c r="D135" s="3" t="s">
        <v>24</v>
      </c>
      <c r="E135" s="3" t="s">
        <v>58</v>
      </c>
      <c r="F135" s="3" t="s">
        <v>52</v>
      </c>
      <c r="G135" s="3" t="s">
        <v>11</v>
      </c>
      <c r="H135" s="3">
        <v>10360.0</v>
      </c>
      <c r="I135" s="3" t="s">
        <v>37</v>
      </c>
      <c r="J135" s="3">
        <v>0.1</v>
      </c>
      <c r="K135" s="3">
        <v>9000.0</v>
      </c>
      <c r="L135" s="3" t="s">
        <v>268</v>
      </c>
      <c r="M135" s="3" t="str">
        <f t="shared" si="1"/>
        <v>Target Achieved</v>
      </c>
      <c r="N135" s="10">
        <f t="shared" si="2"/>
        <v>0.5230414747</v>
      </c>
      <c r="O135" s="11">
        <f t="shared" si="3"/>
        <v>0.1</v>
      </c>
      <c r="P135" s="12">
        <f t="shared" si="4"/>
        <v>9324</v>
      </c>
    </row>
    <row r="136" ht="12.75" customHeight="1">
      <c r="A136" s="3" t="s">
        <v>354</v>
      </c>
      <c r="B136" s="3" t="s">
        <v>355</v>
      </c>
      <c r="C136" s="3" t="s">
        <v>76</v>
      </c>
      <c r="D136" s="3" t="s">
        <v>24</v>
      </c>
      <c r="E136" s="3" t="s">
        <v>46</v>
      </c>
      <c r="F136" s="3" t="s">
        <v>21</v>
      </c>
      <c r="G136" s="3" t="s">
        <v>12</v>
      </c>
      <c r="H136" s="3">
        <v>8983.0</v>
      </c>
      <c r="I136" s="3" t="s">
        <v>47</v>
      </c>
      <c r="J136" s="3">
        <v>0.3</v>
      </c>
      <c r="K136" s="3">
        <v>9000.0</v>
      </c>
      <c r="L136" s="3" t="s">
        <v>332</v>
      </c>
      <c r="M136" s="3" t="str">
        <f t="shared" si="1"/>
        <v>Below Target</v>
      </c>
      <c r="N136" s="10">
        <f t="shared" si="2"/>
        <v>0.5224913495</v>
      </c>
      <c r="O136" s="11">
        <f t="shared" si="3"/>
        <v>0.3</v>
      </c>
      <c r="P136" s="12">
        <f t="shared" si="4"/>
        <v>6288.1</v>
      </c>
    </row>
    <row r="137" ht="12.75" customHeight="1">
      <c r="A137" s="3" t="s">
        <v>356</v>
      </c>
      <c r="B137" s="3" t="s">
        <v>108</v>
      </c>
      <c r="C137" s="3" t="s">
        <v>76</v>
      </c>
      <c r="D137" s="3" t="s">
        <v>24</v>
      </c>
      <c r="E137" s="3" t="s">
        <v>58</v>
      </c>
      <c r="F137" s="3" t="s">
        <v>21</v>
      </c>
      <c r="G137" s="3" t="s">
        <v>13</v>
      </c>
      <c r="H137" s="3">
        <v>9856.0</v>
      </c>
      <c r="I137" s="3" t="s">
        <v>23</v>
      </c>
      <c r="J137" s="3">
        <v>0.2</v>
      </c>
      <c r="K137" s="3">
        <v>9000.0</v>
      </c>
      <c r="L137" s="15" t="s">
        <v>352</v>
      </c>
      <c r="M137" s="3" t="str">
        <f t="shared" si="1"/>
        <v>Target Achieved</v>
      </c>
      <c r="N137" s="10">
        <f t="shared" si="2"/>
        <v>0.5230946882</v>
      </c>
      <c r="O137" s="11">
        <f t="shared" si="3"/>
        <v>0.2</v>
      </c>
      <c r="P137" s="12">
        <f t="shared" si="4"/>
        <v>7884.8</v>
      </c>
    </row>
    <row r="138" ht="12.75" customHeight="1">
      <c r="A138" s="3" t="s">
        <v>358</v>
      </c>
      <c r="B138" s="3" t="s">
        <v>359</v>
      </c>
      <c r="C138" s="3" t="s">
        <v>76</v>
      </c>
      <c r="D138" s="3" t="s">
        <v>24</v>
      </c>
      <c r="E138" s="3" t="s">
        <v>46</v>
      </c>
      <c r="F138" s="3" t="s">
        <v>21</v>
      </c>
      <c r="G138" s="3" t="s">
        <v>12</v>
      </c>
      <c r="H138" s="3">
        <v>8937.0</v>
      </c>
      <c r="K138" s="3">
        <v>9000.0</v>
      </c>
      <c r="L138" s="3" t="s">
        <v>88</v>
      </c>
      <c r="M138" s="3" t="str">
        <f t="shared" si="1"/>
        <v>Below Target</v>
      </c>
      <c r="N138" s="10">
        <f t="shared" si="2"/>
        <v>0.5225433526</v>
      </c>
      <c r="O138" s="11">
        <f t="shared" si="3"/>
        <v>0</v>
      </c>
      <c r="P138" s="12">
        <f t="shared" si="4"/>
        <v>8937</v>
      </c>
    </row>
    <row r="139" ht="12.75" customHeight="1">
      <c r="A139" s="3" t="s">
        <v>360</v>
      </c>
      <c r="B139" s="3" t="s">
        <v>361</v>
      </c>
      <c r="C139" s="3" t="s">
        <v>57</v>
      </c>
      <c r="D139" s="3" t="s">
        <v>19</v>
      </c>
      <c r="E139" s="3" t="s">
        <v>58</v>
      </c>
      <c r="F139" s="3" t="s">
        <v>41</v>
      </c>
      <c r="G139" s="3" t="s">
        <v>13</v>
      </c>
      <c r="H139" s="3">
        <v>13057.0</v>
      </c>
      <c r="I139" s="3" t="s">
        <v>42</v>
      </c>
      <c r="K139" s="3">
        <v>13000.0</v>
      </c>
      <c r="L139" s="3" t="s">
        <v>332</v>
      </c>
      <c r="M139" s="3" t="str">
        <f t="shared" si="1"/>
        <v>Target Achieved</v>
      </c>
      <c r="N139" s="10">
        <f t="shared" si="2"/>
        <v>0.5231481481</v>
      </c>
      <c r="O139" s="11" t="str">
        <f t="shared" si="3"/>
        <v/>
      </c>
      <c r="P139" s="12">
        <f t="shared" si="4"/>
        <v>11098.45</v>
      </c>
    </row>
    <row r="140" ht="12.75" customHeight="1">
      <c r="A140" s="3" t="s">
        <v>362</v>
      </c>
      <c r="B140" s="3" t="s">
        <v>127</v>
      </c>
      <c r="C140" s="3" t="s">
        <v>76</v>
      </c>
      <c r="D140" s="3" t="s">
        <v>24</v>
      </c>
      <c r="E140" s="3" t="s">
        <v>46</v>
      </c>
      <c r="F140" s="3" t="s">
        <v>52</v>
      </c>
      <c r="G140" s="3" t="s">
        <v>11</v>
      </c>
      <c r="H140" s="3">
        <v>7062.0</v>
      </c>
      <c r="I140" s="3" t="s">
        <v>23</v>
      </c>
      <c r="J140" s="3">
        <v>0.2</v>
      </c>
      <c r="K140" s="3">
        <v>9000.0</v>
      </c>
      <c r="L140" s="3" t="s">
        <v>68</v>
      </c>
      <c r="M140" s="3" t="str">
        <f t="shared" si="1"/>
        <v>Below Target</v>
      </c>
      <c r="N140" s="10">
        <f t="shared" si="2"/>
        <v>0.5225955968</v>
      </c>
      <c r="O140" s="11">
        <f t="shared" si="3"/>
        <v>0.2</v>
      </c>
      <c r="P140" s="12">
        <f t="shared" si="4"/>
        <v>5649.6</v>
      </c>
    </row>
    <row r="141" ht="12.75" customHeight="1">
      <c r="A141" s="3" t="s">
        <v>364</v>
      </c>
      <c r="B141" s="3" t="s">
        <v>251</v>
      </c>
      <c r="C141" s="3" t="s">
        <v>57</v>
      </c>
      <c r="D141" s="3" t="s">
        <v>19</v>
      </c>
      <c r="E141" s="3" t="s">
        <v>46</v>
      </c>
      <c r="F141" s="3" t="s">
        <v>21</v>
      </c>
      <c r="G141" s="3" t="s">
        <v>11</v>
      </c>
      <c r="H141" s="3">
        <v>12386.0</v>
      </c>
      <c r="I141" s="3" t="s">
        <v>42</v>
      </c>
      <c r="K141" s="3">
        <v>13000.0</v>
      </c>
      <c r="L141" s="3" t="s">
        <v>96</v>
      </c>
      <c r="M141" s="3" t="str">
        <f t="shared" si="1"/>
        <v>Below Target</v>
      </c>
      <c r="N141" s="10">
        <f t="shared" si="2"/>
        <v>0.5232018561</v>
      </c>
      <c r="O141" s="11" t="str">
        <f t="shared" si="3"/>
        <v/>
      </c>
      <c r="P141" s="12">
        <f t="shared" si="4"/>
        <v>10528.1</v>
      </c>
    </row>
    <row r="142" ht="12.75" customHeight="1">
      <c r="A142" s="3" t="s">
        <v>365</v>
      </c>
      <c r="B142" s="3" t="s">
        <v>366</v>
      </c>
      <c r="C142" s="3" t="s">
        <v>18</v>
      </c>
      <c r="D142" s="3" t="s">
        <v>16</v>
      </c>
      <c r="E142" s="3" t="s">
        <v>58</v>
      </c>
      <c r="F142" s="3" t="s">
        <v>52</v>
      </c>
      <c r="G142" s="3" t="s">
        <v>12</v>
      </c>
      <c r="H142" s="3">
        <v>13556.0</v>
      </c>
      <c r="I142" s="3" t="s">
        <v>47</v>
      </c>
      <c r="J142" s="3">
        <v>0.3</v>
      </c>
      <c r="K142" s="3">
        <v>14000.0</v>
      </c>
      <c r="L142" s="15" t="s">
        <v>312</v>
      </c>
      <c r="M142" s="3" t="str">
        <f t="shared" si="1"/>
        <v>Below Target</v>
      </c>
      <c r="N142" s="10">
        <f t="shared" si="2"/>
        <v>0.5238095238</v>
      </c>
      <c r="O142" s="11">
        <f t="shared" si="3"/>
        <v>0.3</v>
      </c>
      <c r="P142" s="12">
        <f t="shared" si="4"/>
        <v>9489.2</v>
      </c>
    </row>
    <row r="143" ht="12.75" customHeight="1">
      <c r="A143" s="3" t="s">
        <v>367</v>
      </c>
      <c r="B143" s="3" t="s">
        <v>368</v>
      </c>
      <c r="C143" s="3" t="s">
        <v>76</v>
      </c>
      <c r="D143" s="3" t="s">
        <v>24</v>
      </c>
      <c r="E143" s="3" t="s">
        <v>20</v>
      </c>
      <c r="F143" s="3" t="s">
        <v>41</v>
      </c>
      <c r="G143" s="3" t="s">
        <v>12</v>
      </c>
      <c r="H143" s="3">
        <v>7280.0</v>
      </c>
      <c r="I143" s="3" t="s">
        <v>23</v>
      </c>
      <c r="J143" s="3">
        <v>0.2</v>
      </c>
      <c r="K143" s="3">
        <v>9000.0</v>
      </c>
      <c r="L143" s="15" t="s">
        <v>312</v>
      </c>
      <c r="M143" s="3" t="str">
        <f t="shared" si="1"/>
        <v>Below Target</v>
      </c>
      <c r="N143" s="10">
        <f t="shared" si="2"/>
        <v>0.5244186047</v>
      </c>
      <c r="O143" s="11">
        <f t="shared" si="3"/>
        <v>0.2</v>
      </c>
      <c r="P143" s="12">
        <f t="shared" si="4"/>
        <v>5824</v>
      </c>
    </row>
    <row r="144" ht="12.75" customHeight="1">
      <c r="A144" s="3" t="s">
        <v>369</v>
      </c>
      <c r="B144" s="3" t="s">
        <v>370</v>
      </c>
      <c r="C144" s="3" t="s">
        <v>57</v>
      </c>
      <c r="D144" s="3" t="s">
        <v>19</v>
      </c>
      <c r="E144" s="3" t="s">
        <v>20</v>
      </c>
      <c r="F144" s="3" t="s">
        <v>41</v>
      </c>
      <c r="G144" s="3" t="s">
        <v>11</v>
      </c>
      <c r="H144" s="3">
        <v>11403.0</v>
      </c>
      <c r="I144" s="3" t="s">
        <v>37</v>
      </c>
      <c r="J144" s="3">
        <v>0.1</v>
      </c>
      <c r="K144" s="3">
        <v>13000.0</v>
      </c>
      <c r="L144" s="3" t="s">
        <v>203</v>
      </c>
      <c r="M144" s="3" t="str">
        <f t="shared" si="1"/>
        <v>Below Target</v>
      </c>
      <c r="N144" s="10">
        <f t="shared" si="2"/>
        <v>0.5250291036</v>
      </c>
      <c r="O144" s="11">
        <f t="shared" si="3"/>
        <v>0.1</v>
      </c>
      <c r="P144" s="12">
        <f t="shared" si="4"/>
        <v>10262.7</v>
      </c>
    </row>
    <row r="145" ht="12.75" customHeight="1">
      <c r="A145" s="3" t="s">
        <v>371</v>
      </c>
      <c r="B145" s="3" t="s">
        <v>372</v>
      </c>
      <c r="C145" s="3" t="s">
        <v>45</v>
      </c>
      <c r="D145" s="3" t="s">
        <v>22</v>
      </c>
      <c r="E145" s="3" t="s">
        <v>46</v>
      </c>
      <c r="F145" s="3" t="s">
        <v>41</v>
      </c>
      <c r="G145" s="3" t="s">
        <v>11</v>
      </c>
      <c r="H145" s="3">
        <v>18261.0</v>
      </c>
      <c r="I145" s="3" t="s">
        <v>37</v>
      </c>
      <c r="J145" s="3">
        <v>0.1</v>
      </c>
      <c r="K145" s="3">
        <v>17000.0</v>
      </c>
      <c r="L145" s="3" t="s">
        <v>268</v>
      </c>
      <c r="M145" s="3" t="str">
        <f t="shared" si="1"/>
        <v>Target Achieved</v>
      </c>
      <c r="N145" s="10">
        <f t="shared" si="2"/>
        <v>0.5256410256</v>
      </c>
      <c r="O145" s="11">
        <f t="shared" si="3"/>
        <v>0.1</v>
      </c>
      <c r="P145" s="12">
        <f t="shared" si="4"/>
        <v>16434.9</v>
      </c>
    </row>
    <row r="146" ht="12.75" customHeight="1">
      <c r="A146" s="3" t="s">
        <v>373</v>
      </c>
      <c r="B146" s="3" t="s">
        <v>374</v>
      </c>
      <c r="C146" s="3" t="s">
        <v>76</v>
      </c>
      <c r="D146" s="3" t="s">
        <v>24</v>
      </c>
      <c r="E146" s="3" t="s">
        <v>46</v>
      </c>
      <c r="F146" s="3" t="s">
        <v>41</v>
      </c>
      <c r="G146" s="3" t="s">
        <v>12</v>
      </c>
      <c r="H146" s="3">
        <v>8687.0</v>
      </c>
      <c r="I146" s="3" t="s">
        <v>42</v>
      </c>
      <c r="K146" s="3">
        <v>9000.0</v>
      </c>
      <c r="L146" s="3" t="s">
        <v>238</v>
      </c>
      <c r="M146" s="3" t="str">
        <f t="shared" si="1"/>
        <v>Below Target</v>
      </c>
      <c r="N146" s="10">
        <f t="shared" si="2"/>
        <v>0.5250875146</v>
      </c>
      <c r="O146" s="11" t="str">
        <f t="shared" si="3"/>
        <v/>
      </c>
      <c r="P146" s="12">
        <f t="shared" si="4"/>
        <v>7383.95</v>
      </c>
    </row>
    <row r="147" ht="12.75" customHeight="1">
      <c r="A147" s="3" t="s">
        <v>376</v>
      </c>
      <c r="B147" s="3" t="s">
        <v>92</v>
      </c>
      <c r="C147" s="3" t="s">
        <v>57</v>
      </c>
      <c r="D147" s="3" t="s">
        <v>19</v>
      </c>
      <c r="E147" s="3" t="s">
        <v>46</v>
      </c>
      <c r="F147" s="3" t="s">
        <v>41</v>
      </c>
      <c r="G147" s="3" t="s">
        <v>12</v>
      </c>
      <c r="H147" s="3">
        <v>14566.0</v>
      </c>
      <c r="K147" s="3">
        <v>13000.0</v>
      </c>
      <c r="L147" s="15" t="s">
        <v>322</v>
      </c>
      <c r="M147" s="3" t="str">
        <f t="shared" si="1"/>
        <v>Target Achieved</v>
      </c>
      <c r="N147" s="10">
        <f t="shared" si="2"/>
        <v>0.5257009346</v>
      </c>
      <c r="O147" s="11">
        <f t="shared" si="3"/>
        <v>0</v>
      </c>
      <c r="P147" s="12">
        <f t="shared" si="4"/>
        <v>14566</v>
      </c>
    </row>
    <row r="148" ht="12.75" customHeight="1">
      <c r="A148" s="3" t="s">
        <v>377</v>
      </c>
      <c r="B148" s="3" t="s">
        <v>298</v>
      </c>
      <c r="C148" s="3" t="s">
        <v>76</v>
      </c>
      <c r="D148" s="3" t="s">
        <v>24</v>
      </c>
      <c r="E148" s="3" t="s">
        <v>20</v>
      </c>
      <c r="F148" s="3" t="s">
        <v>41</v>
      </c>
      <c r="G148" s="3" t="s">
        <v>13</v>
      </c>
      <c r="H148" s="3">
        <v>8888.0</v>
      </c>
      <c r="I148" s="3" t="s">
        <v>47</v>
      </c>
      <c r="J148" s="3">
        <v>0.3</v>
      </c>
      <c r="K148" s="3">
        <v>9000.0</v>
      </c>
      <c r="L148" s="3" t="s">
        <v>345</v>
      </c>
      <c r="M148" s="3" t="str">
        <f t="shared" si="1"/>
        <v>Below Target</v>
      </c>
      <c r="N148" s="10">
        <f t="shared" si="2"/>
        <v>0.5251461988</v>
      </c>
      <c r="O148" s="11">
        <f t="shared" si="3"/>
        <v>0.3</v>
      </c>
      <c r="P148" s="12">
        <f t="shared" si="4"/>
        <v>6221.6</v>
      </c>
    </row>
    <row r="149" ht="12.75" customHeight="1">
      <c r="A149" s="3" t="s">
        <v>378</v>
      </c>
      <c r="B149" s="3" t="s">
        <v>379</v>
      </c>
      <c r="C149" s="3" t="s">
        <v>18</v>
      </c>
      <c r="D149" s="3" t="s">
        <v>16</v>
      </c>
      <c r="E149" s="3" t="s">
        <v>58</v>
      </c>
      <c r="F149" s="3" t="s">
        <v>21</v>
      </c>
      <c r="G149" s="3" t="s">
        <v>12</v>
      </c>
      <c r="H149" s="3">
        <v>14238.0</v>
      </c>
      <c r="I149" s="3" t="s">
        <v>23</v>
      </c>
      <c r="J149" s="3">
        <v>0.2</v>
      </c>
      <c r="K149" s="3">
        <v>14000.0</v>
      </c>
      <c r="L149" s="15" t="s">
        <v>109</v>
      </c>
      <c r="M149" s="3" t="str">
        <f t="shared" si="1"/>
        <v>Target Achieved</v>
      </c>
      <c r="N149" s="10">
        <f t="shared" si="2"/>
        <v>0.5257611241</v>
      </c>
      <c r="O149" s="11">
        <f t="shared" si="3"/>
        <v>0.2</v>
      </c>
      <c r="P149" s="12">
        <f t="shared" si="4"/>
        <v>11390.4</v>
      </c>
    </row>
    <row r="150" ht="12.75" customHeight="1">
      <c r="A150" s="3" t="s">
        <v>380</v>
      </c>
      <c r="B150" s="3" t="s">
        <v>240</v>
      </c>
      <c r="C150" s="3" t="s">
        <v>45</v>
      </c>
      <c r="D150" s="3" t="s">
        <v>22</v>
      </c>
      <c r="E150" s="3" t="s">
        <v>20</v>
      </c>
      <c r="F150" s="3" t="s">
        <v>21</v>
      </c>
      <c r="G150" s="3" t="s">
        <v>12</v>
      </c>
      <c r="H150" s="3">
        <v>16024.0</v>
      </c>
      <c r="K150" s="3">
        <v>17000.0</v>
      </c>
      <c r="L150" s="3" t="s">
        <v>77</v>
      </c>
      <c r="M150" s="3" t="str">
        <f t="shared" si="1"/>
        <v>Below Target</v>
      </c>
      <c r="N150" s="10">
        <f t="shared" si="2"/>
        <v>0.5252051583</v>
      </c>
      <c r="O150" s="11">
        <f t="shared" si="3"/>
        <v>0</v>
      </c>
      <c r="P150" s="12">
        <f t="shared" si="4"/>
        <v>16024</v>
      </c>
    </row>
    <row r="151" ht="12.75" customHeight="1">
      <c r="A151" s="3" t="s">
        <v>381</v>
      </c>
      <c r="B151" s="3" t="s">
        <v>382</v>
      </c>
      <c r="C151" s="3" t="s">
        <v>76</v>
      </c>
      <c r="D151" s="3" t="s">
        <v>24</v>
      </c>
      <c r="E151" s="3" t="s">
        <v>58</v>
      </c>
      <c r="F151" s="3" t="s">
        <v>41</v>
      </c>
      <c r="G151" s="3" t="s">
        <v>13</v>
      </c>
      <c r="H151" s="3">
        <v>8562.0</v>
      </c>
      <c r="I151" s="3" t="s">
        <v>42</v>
      </c>
      <c r="K151" s="3">
        <v>9000.0</v>
      </c>
      <c r="L151" s="3" t="s">
        <v>334</v>
      </c>
      <c r="M151" s="3" t="str">
        <f t="shared" si="1"/>
        <v>Below Target</v>
      </c>
      <c r="N151" s="10">
        <f t="shared" si="2"/>
        <v>0.5258215962</v>
      </c>
      <c r="O151" s="11" t="str">
        <f t="shared" si="3"/>
        <v/>
      </c>
      <c r="P151" s="12">
        <f t="shared" si="4"/>
        <v>7277.7</v>
      </c>
    </row>
    <row r="152" ht="12.75" customHeight="1">
      <c r="A152" s="3" t="s">
        <v>384</v>
      </c>
      <c r="B152" s="3" t="s">
        <v>385</v>
      </c>
      <c r="C152" s="3" t="s">
        <v>45</v>
      </c>
      <c r="D152" s="3" t="s">
        <v>22</v>
      </c>
      <c r="E152" s="3" t="s">
        <v>46</v>
      </c>
      <c r="F152" s="3" t="s">
        <v>52</v>
      </c>
      <c r="G152" s="3" t="s">
        <v>11</v>
      </c>
      <c r="H152" s="3">
        <v>16124.0</v>
      </c>
      <c r="I152" s="3" t="s">
        <v>37</v>
      </c>
      <c r="J152" s="3">
        <v>0.1</v>
      </c>
      <c r="K152" s="3">
        <v>17000.0</v>
      </c>
      <c r="L152" s="15" t="s">
        <v>352</v>
      </c>
      <c r="M152" s="3" t="str">
        <f t="shared" si="1"/>
        <v>Below Target</v>
      </c>
      <c r="N152" s="10">
        <f t="shared" si="2"/>
        <v>0.526439483</v>
      </c>
      <c r="O152" s="11">
        <f t="shared" si="3"/>
        <v>0.1</v>
      </c>
      <c r="P152" s="12">
        <f t="shared" si="4"/>
        <v>14511.6</v>
      </c>
    </row>
    <row r="153" ht="12.75" customHeight="1">
      <c r="A153" s="3" t="s">
        <v>386</v>
      </c>
      <c r="B153" s="3" t="s">
        <v>251</v>
      </c>
      <c r="C153" s="3" t="s">
        <v>18</v>
      </c>
      <c r="D153" s="3" t="s">
        <v>16</v>
      </c>
      <c r="E153" s="3" t="s">
        <v>20</v>
      </c>
      <c r="F153" s="3" t="s">
        <v>52</v>
      </c>
      <c r="G153" s="3" t="s">
        <v>11</v>
      </c>
      <c r="H153" s="3">
        <v>15411.0</v>
      </c>
      <c r="I153" s="3" t="s">
        <v>47</v>
      </c>
      <c r="J153" s="3">
        <v>0.3</v>
      </c>
      <c r="K153" s="3">
        <v>14000.0</v>
      </c>
      <c r="L153" s="3" t="s">
        <v>324</v>
      </c>
      <c r="M153" s="3" t="str">
        <f t="shared" si="1"/>
        <v>Target Achieved</v>
      </c>
      <c r="N153" s="10">
        <f t="shared" si="2"/>
        <v>0.5270588235</v>
      </c>
      <c r="O153" s="11">
        <f t="shared" si="3"/>
        <v>0.3</v>
      </c>
      <c r="P153" s="12">
        <f t="shared" si="4"/>
        <v>10787.7</v>
      </c>
    </row>
    <row r="154" ht="12.75" customHeight="1">
      <c r="A154" s="3" t="s">
        <v>387</v>
      </c>
      <c r="B154" s="3" t="s">
        <v>388</v>
      </c>
      <c r="C154" s="3" t="s">
        <v>45</v>
      </c>
      <c r="D154" s="3" t="s">
        <v>22</v>
      </c>
      <c r="E154" s="3" t="s">
        <v>46</v>
      </c>
      <c r="F154" s="3" t="s">
        <v>52</v>
      </c>
      <c r="G154" s="3" t="s">
        <v>13</v>
      </c>
      <c r="H154" s="3">
        <v>17543.0</v>
      </c>
      <c r="I154" s="3" t="s">
        <v>47</v>
      </c>
      <c r="J154" s="3">
        <v>0.3</v>
      </c>
      <c r="K154" s="3">
        <v>17000.0</v>
      </c>
      <c r="L154" s="3" t="s">
        <v>238</v>
      </c>
      <c r="M154" s="3" t="str">
        <f t="shared" si="1"/>
        <v>Target Achieved</v>
      </c>
      <c r="N154" s="10">
        <f t="shared" si="2"/>
        <v>0.5265017668</v>
      </c>
      <c r="O154" s="11">
        <f t="shared" si="3"/>
        <v>0.3</v>
      </c>
      <c r="P154" s="12">
        <f t="shared" si="4"/>
        <v>12280.1</v>
      </c>
    </row>
    <row r="155" ht="12.75" customHeight="1">
      <c r="A155" s="3" t="s">
        <v>389</v>
      </c>
      <c r="B155" s="3" t="s">
        <v>390</v>
      </c>
      <c r="C155" s="3" t="s">
        <v>57</v>
      </c>
      <c r="D155" s="3" t="s">
        <v>19</v>
      </c>
      <c r="E155" s="3" t="s">
        <v>20</v>
      </c>
      <c r="F155" s="3" t="s">
        <v>41</v>
      </c>
      <c r="G155" s="3" t="s">
        <v>12</v>
      </c>
      <c r="H155" s="3">
        <v>13647.0</v>
      </c>
      <c r="I155" s="3" t="s">
        <v>37</v>
      </c>
      <c r="J155" s="3">
        <v>0.1</v>
      </c>
      <c r="K155" s="3">
        <v>13000.0</v>
      </c>
      <c r="L155" s="3" t="s">
        <v>327</v>
      </c>
      <c r="M155" s="3" t="str">
        <f t="shared" si="1"/>
        <v>Target Achieved</v>
      </c>
      <c r="N155" s="10">
        <f t="shared" si="2"/>
        <v>0.5259433962</v>
      </c>
      <c r="O155" s="11">
        <f t="shared" si="3"/>
        <v>0.1</v>
      </c>
      <c r="P155" s="12">
        <f t="shared" si="4"/>
        <v>12282.3</v>
      </c>
    </row>
    <row r="156" ht="12.75" customHeight="1">
      <c r="A156" s="3" t="s">
        <v>391</v>
      </c>
      <c r="B156" s="3" t="s">
        <v>392</v>
      </c>
      <c r="C156" s="3" t="s">
        <v>18</v>
      </c>
      <c r="D156" s="3" t="s">
        <v>16</v>
      </c>
      <c r="E156" s="3" t="s">
        <v>20</v>
      </c>
      <c r="F156" s="3" t="s">
        <v>21</v>
      </c>
      <c r="G156" s="3" t="s">
        <v>12</v>
      </c>
      <c r="H156" s="3">
        <v>12538.0</v>
      </c>
      <c r="I156" s="3" t="s">
        <v>37</v>
      </c>
      <c r="J156" s="3">
        <v>0.1</v>
      </c>
      <c r="K156" s="3">
        <v>14000.0</v>
      </c>
      <c r="L156" s="3" t="s">
        <v>340</v>
      </c>
      <c r="M156" s="3" t="str">
        <f t="shared" si="1"/>
        <v>Below Target</v>
      </c>
      <c r="N156" s="10">
        <f t="shared" si="2"/>
        <v>0.5253837072</v>
      </c>
      <c r="O156" s="11">
        <f t="shared" si="3"/>
        <v>0.1</v>
      </c>
      <c r="P156" s="12">
        <f t="shared" si="4"/>
        <v>11284.2</v>
      </c>
    </row>
    <row r="157" ht="12.75" customHeight="1">
      <c r="A157" s="3" t="s">
        <v>393</v>
      </c>
      <c r="B157" s="3" t="s">
        <v>170</v>
      </c>
      <c r="C157" s="3" t="s">
        <v>76</v>
      </c>
      <c r="D157" s="3" t="s">
        <v>24</v>
      </c>
      <c r="E157" s="3" t="s">
        <v>46</v>
      </c>
      <c r="F157" s="3" t="s">
        <v>41</v>
      </c>
      <c r="G157" s="3" t="s">
        <v>13</v>
      </c>
      <c r="H157" s="3">
        <v>10221.0</v>
      </c>
      <c r="I157" s="3" t="s">
        <v>42</v>
      </c>
      <c r="K157" s="3">
        <v>9000.0</v>
      </c>
      <c r="L157" s="3" t="s">
        <v>337</v>
      </c>
      <c r="M157" s="3" t="str">
        <f t="shared" si="1"/>
        <v>Target Achieved</v>
      </c>
      <c r="N157" s="10">
        <f t="shared" si="2"/>
        <v>0.5260047281</v>
      </c>
      <c r="O157" s="11" t="str">
        <f t="shared" si="3"/>
        <v/>
      </c>
      <c r="P157" s="12">
        <f t="shared" si="4"/>
        <v>8687.85</v>
      </c>
    </row>
    <row r="158" ht="12.75" customHeight="1">
      <c r="A158" s="3" t="s">
        <v>395</v>
      </c>
      <c r="B158" s="3" t="s">
        <v>396</v>
      </c>
      <c r="C158" s="3" t="s">
        <v>45</v>
      </c>
      <c r="D158" s="3" t="s">
        <v>22</v>
      </c>
      <c r="E158" s="3" t="s">
        <v>46</v>
      </c>
      <c r="F158" s="3" t="s">
        <v>21</v>
      </c>
      <c r="G158" s="3" t="s">
        <v>11</v>
      </c>
      <c r="H158" s="3">
        <v>18962.0</v>
      </c>
      <c r="I158" s="3" t="s">
        <v>47</v>
      </c>
      <c r="J158" s="3">
        <v>0.3</v>
      </c>
      <c r="K158" s="3">
        <v>17000.0</v>
      </c>
      <c r="L158" s="3" t="s">
        <v>38</v>
      </c>
      <c r="M158" s="3" t="str">
        <f t="shared" si="1"/>
        <v>Target Achieved</v>
      </c>
      <c r="N158" s="10">
        <f t="shared" si="2"/>
        <v>0.525443787</v>
      </c>
      <c r="O158" s="11">
        <f t="shared" si="3"/>
        <v>0.3</v>
      </c>
      <c r="P158" s="12">
        <f t="shared" si="4"/>
        <v>13273.4</v>
      </c>
    </row>
    <row r="159" ht="12.75" customHeight="1">
      <c r="A159" s="3" t="s">
        <v>397</v>
      </c>
      <c r="B159" s="3" t="s">
        <v>398</v>
      </c>
      <c r="C159" s="3" t="s">
        <v>18</v>
      </c>
      <c r="D159" s="3" t="s">
        <v>16</v>
      </c>
      <c r="E159" s="3" t="s">
        <v>58</v>
      </c>
      <c r="F159" s="3" t="s">
        <v>41</v>
      </c>
      <c r="G159" s="3" t="s">
        <v>13</v>
      </c>
      <c r="H159" s="3">
        <v>15089.0</v>
      </c>
      <c r="I159" s="3" t="s">
        <v>23</v>
      </c>
      <c r="J159" s="3">
        <v>0.2</v>
      </c>
      <c r="K159" s="3">
        <v>14000.0</v>
      </c>
      <c r="L159" s="3" t="s">
        <v>139</v>
      </c>
      <c r="M159" s="3" t="str">
        <f t="shared" si="1"/>
        <v>Target Achieved</v>
      </c>
      <c r="N159" s="10">
        <f t="shared" si="2"/>
        <v>0.5248815166</v>
      </c>
      <c r="O159" s="11">
        <f t="shared" si="3"/>
        <v>0.2</v>
      </c>
      <c r="P159" s="12">
        <f t="shared" si="4"/>
        <v>12071.2</v>
      </c>
    </row>
    <row r="160" ht="12.75" customHeight="1">
      <c r="A160" s="3" t="s">
        <v>399</v>
      </c>
      <c r="B160" s="3" t="s">
        <v>400</v>
      </c>
      <c r="C160" s="3" t="s">
        <v>76</v>
      </c>
      <c r="D160" s="3" t="s">
        <v>24</v>
      </c>
      <c r="E160" s="3" t="s">
        <v>20</v>
      </c>
      <c r="F160" s="3" t="s">
        <v>21</v>
      </c>
      <c r="G160" s="3" t="s">
        <v>13</v>
      </c>
      <c r="H160" s="3">
        <v>10238.0</v>
      </c>
      <c r="K160" s="3">
        <v>9000.0</v>
      </c>
      <c r="L160" s="15" t="s">
        <v>308</v>
      </c>
      <c r="M160" s="3" t="str">
        <f t="shared" si="1"/>
        <v>Target Achieved</v>
      </c>
      <c r="N160" s="10">
        <f t="shared" si="2"/>
        <v>0.5243179122</v>
      </c>
      <c r="O160" s="11">
        <f t="shared" si="3"/>
        <v>0</v>
      </c>
      <c r="P160" s="12">
        <f t="shared" si="4"/>
        <v>10238</v>
      </c>
    </row>
    <row r="161" ht="12.75" customHeight="1">
      <c r="A161" s="3" t="s">
        <v>402</v>
      </c>
      <c r="B161" s="3" t="s">
        <v>403</v>
      </c>
      <c r="C161" s="3" t="s">
        <v>18</v>
      </c>
      <c r="D161" s="3" t="s">
        <v>16</v>
      </c>
      <c r="E161" s="3" t="s">
        <v>58</v>
      </c>
      <c r="F161" s="3" t="s">
        <v>21</v>
      </c>
      <c r="G161" s="3" t="s">
        <v>12</v>
      </c>
      <c r="H161" s="3">
        <v>15067.0</v>
      </c>
      <c r="I161" s="3" t="s">
        <v>47</v>
      </c>
      <c r="J161" s="3">
        <v>0.3</v>
      </c>
      <c r="K161" s="3">
        <v>14000.0</v>
      </c>
      <c r="L161" s="15" t="s">
        <v>275</v>
      </c>
      <c r="M161" s="3" t="str">
        <f t="shared" si="1"/>
        <v>Target Achieved</v>
      </c>
      <c r="N161" s="10">
        <f t="shared" si="2"/>
        <v>0.5237529691</v>
      </c>
      <c r="O161" s="11">
        <f t="shared" si="3"/>
        <v>0.3</v>
      </c>
      <c r="P161" s="12">
        <f t="shared" si="4"/>
        <v>10546.9</v>
      </c>
    </row>
    <row r="162" ht="12.75" customHeight="1">
      <c r="A162" s="3" t="s">
        <v>404</v>
      </c>
      <c r="B162" s="3" t="s">
        <v>405</v>
      </c>
      <c r="C162" s="3" t="s">
        <v>45</v>
      </c>
      <c r="D162" s="3" t="s">
        <v>22</v>
      </c>
      <c r="E162" s="3" t="s">
        <v>46</v>
      </c>
      <c r="F162" s="3" t="s">
        <v>52</v>
      </c>
      <c r="G162" s="3" t="s">
        <v>13</v>
      </c>
      <c r="H162" s="3">
        <v>16931.0</v>
      </c>
      <c r="I162" s="3" t="s">
        <v>37</v>
      </c>
      <c r="J162" s="3">
        <v>0.1</v>
      </c>
      <c r="K162" s="3">
        <v>17000.0</v>
      </c>
      <c r="L162" s="15" t="s">
        <v>322</v>
      </c>
      <c r="M162" s="3" t="str">
        <f t="shared" si="1"/>
        <v>Below Target</v>
      </c>
      <c r="N162" s="10">
        <f t="shared" si="2"/>
        <v>0.5231866825</v>
      </c>
      <c r="O162" s="11">
        <f t="shared" si="3"/>
        <v>0.1</v>
      </c>
      <c r="P162" s="12">
        <f t="shared" si="4"/>
        <v>15237.9</v>
      </c>
    </row>
    <row r="163" ht="12.75" customHeight="1">
      <c r="A163" s="3" t="s">
        <v>406</v>
      </c>
      <c r="B163" s="3" t="s">
        <v>111</v>
      </c>
      <c r="C163" s="3" t="s">
        <v>45</v>
      </c>
      <c r="D163" s="3" t="s">
        <v>22</v>
      </c>
      <c r="E163" s="3" t="s">
        <v>20</v>
      </c>
      <c r="F163" s="3" t="s">
        <v>41</v>
      </c>
      <c r="G163" s="3" t="s">
        <v>12</v>
      </c>
      <c r="H163" s="3">
        <v>15258.0</v>
      </c>
      <c r="K163" s="3">
        <v>17000.0</v>
      </c>
      <c r="L163" s="3" t="s">
        <v>340</v>
      </c>
      <c r="M163" s="3" t="str">
        <f t="shared" si="1"/>
        <v>Below Target</v>
      </c>
      <c r="N163" s="10">
        <f t="shared" si="2"/>
        <v>0.5238095238</v>
      </c>
      <c r="O163" s="11">
        <f t="shared" si="3"/>
        <v>0</v>
      </c>
      <c r="P163" s="12">
        <f t="shared" si="4"/>
        <v>15258</v>
      </c>
    </row>
    <row r="164" ht="12.75" customHeight="1">
      <c r="A164" s="3" t="s">
        <v>407</v>
      </c>
      <c r="B164" s="3" t="s">
        <v>355</v>
      </c>
      <c r="C164" s="3" t="s">
        <v>76</v>
      </c>
      <c r="D164" s="3" t="s">
        <v>24</v>
      </c>
      <c r="E164" s="3" t="s">
        <v>46</v>
      </c>
      <c r="F164" s="3" t="s">
        <v>41</v>
      </c>
      <c r="G164" s="3" t="s">
        <v>13</v>
      </c>
      <c r="H164" s="3">
        <v>10875.0</v>
      </c>
      <c r="I164" s="3" t="s">
        <v>37</v>
      </c>
      <c r="J164" s="3">
        <v>0.1</v>
      </c>
      <c r="K164" s="3">
        <v>9000.0</v>
      </c>
      <c r="L164" s="3" t="s">
        <v>327</v>
      </c>
      <c r="M164" s="3" t="str">
        <f t="shared" si="1"/>
        <v>Target Achieved</v>
      </c>
      <c r="N164" s="10">
        <f t="shared" si="2"/>
        <v>0.5244338498</v>
      </c>
      <c r="O164" s="11">
        <f t="shared" si="3"/>
        <v>0.1</v>
      </c>
      <c r="P164" s="12">
        <f t="shared" si="4"/>
        <v>9787.5</v>
      </c>
    </row>
    <row r="165" ht="12.75" customHeight="1">
      <c r="A165" s="3" t="s">
        <v>408</v>
      </c>
      <c r="B165" s="3" t="s">
        <v>286</v>
      </c>
      <c r="C165" s="3" t="s">
        <v>18</v>
      </c>
      <c r="D165" s="3" t="s">
        <v>16</v>
      </c>
      <c r="E165" s="3" t="s">
        <v>46</v>
      </c>
      <c r="F165" s="3" t="s">
        <v>52</v>
      </c>
      <c r="G165" s="3" t="s">
        <v>13</v>
      </c>
      <c r="H165" s="3">
        <v>13591.0</v>
      </c>
      <c r="K165" s="3">
        <v>14000.0</v>
      </c>
      <c r="L165" s="3" t="s">
        <v>336</v>
      </c>
      <c r="M165" s="3" t="str">
        <f t="shared" si="1"/>
        <v>Below Target</v>
      </c>
      <c r="N165" s="10">
        <f t="shared" si="2"/>
        <v>0.5238663484</v>
      </c>
      <c r="O165" s="11">
        <f t="shared" si="3"/>
        <v>0</v>
      </c>
      <c r="P165" s="12">
        <f t="shared" si="4"/>
        <v>13591</v>
      </c>
    </row>
    <row r="166" ht="12.75" customHeight="1">
      <c r="A166" s="3" t="s">
        <v>409</v>
      </c>
      <c r="B166" s="3" t="s">
        <v>400</v>
      </c>
      <c r="C166" s="3" t="s">
        <v>76</v>
      </c>
      <c r="D166" s="3" t="s">
        <v>24</v>
      </c>
      <c r="E166" s="3" t="s">
        <v>20</v>
      </c>
      <c r="F166" s="3" t="s">
        <v>52</v>
      </c>
      <c r="G166" s="3" t="s">
        <v>12</v>
      </c>
      <c r="H166" s="3">
        <v>7632.0</v>
      </c>
      <c r="K166" s="3">
        <v>9000.0</v>
      </c>
      <c r="L166" s="15" t="s">
        <v>313</v>
      </c>
      <c r="M166" s="3" t="str">
        <f t="shared" si="1"/>
        <v>Below Target</v>
      </c>
      <c r="N166" s="10">
        <f t="shared" si="2"/>
        <v>0.5244922342</v>
      </c>
      <c r="O166" s="11">
        <f t="shared" si="3"/>
        <v>0</v>
      </c>
      <c r="P166" s="12">
        <f t="shared" si="4"/>
        <v>7632</v>
      </c>
    </row>
    <row r="167" ht="12.75" customHeight="1">
      <c r="A167" s="3" t="s">
        <v>410</v>
      </c>
      <c r="B167" s="3" t="s">
        <v>202</v>
      </c>
      <c r="C167" s="3" t="s">
        <v>76</v>
      </c>
      <c r="D167" s="3" t="s">
        <v>24</v>
      </c>
      <c r="E167" s="3" t="s">
        <v>20</v>
      </c>
      <c r="F167" s="3" t="s">
        <v>21</v>
      </c>
      <c r="G167" s="3" t="s">
        <v>11</v>
      </c>
      <c r="H167" s="3">
        <v>7134.0</v>
      </c>
      <c r="I167" s="3" t="s">
        <v>47</v>
      </c>
      <c r="J167" s="3">
        <v>0.3</v>
      </c>
      <c r="K167" s="3">
        <v>9000.0</v>
      </c>
      <c r="L167" s="3" t="s">
        <v>65</v>
      </c>
      <c r="M167" s="3" t="str">
        <f t="shared" si="1"/>
        <v>Below Target</v>
      </c>
      <c r="N167" s="10">
        <f t="shared" si="2"/>
        <v>0.5251196172</v>
      </c>
      <c r="O167" s="11">
        <f t="shared" si="3"/>
        <v>0.3</v>
      </c>
      <c r="P167" s="12">
        <f t="shared" si="4"/>
        <v>4993.8</v>
      </c>
    </row>
    <row r="168" ht="12.75" customHeight="1">
      <c r="A168" s="3" t="s">
        <v>411</v>
      </c>
      <c r="B168" s="3" t="s">
        <v>290</v>
      </c>
      <c r="C168" s="3" t="s">
        <v>57</v>
      </c>
      <c r="D168" s="3" t="s">
        <v>19</v>
      </c>
      <c r="E168" s="3" t="s">
        <v>58</v>
      </c>
      <c r="F168" s="3" t="s">
        <v>41</v>
      </c>
      <c r="G168" s="3" t="s">
        <v>12</v>
      </c>
      <c r="H168" s="3">
        <v>12504.0</v>
      </c>
      <c r="I168" s="3" t="s">
        <v>42</v>
      </c>
      <c r="K168" s="3">
        <v>13000.0</v>
      </c>
      <c r="L168" s="3" t="s">
        <v>338</v>
      </c>
      <c r="M168" s="3" t="str">
        <f t="shared" si="1"/>
        <v>Below Target</v>
      </c>
      <c r="N168" s="10">
        <f t="shared" si="2"/>
        <v>0.525748503</v>
      </c>
      <c r="O168" s="11" t="str">
        <f t="shared" si="3"/>
        <v/>
      </c>
      <c r="P168" s="12">
        <f t="shared" si="4"/>
        <v>10628.4</v>
      </c>
    </row>
    <row r="169" ht="12.75" customHeight="1">
      <c r="A169" s="3" t="s">
        <v>412</v>
      </c>
      <c r="B169" s="3" t="s">
        <v>413</v>
      </c>
      <c r="C169" s="3" t="s">
        <v>18</v>
      </c>
      <c r="D169" s="3" t="s">
        <v>16</v>
      </c>
      <c r="E169" s="3" t="s">
        <v>58</v>
      </c>
      <c r="F169" s="3" t="s">
        <v>21</v>
      </c>
      <c r="G169" s="3" t="s">
        <v>13</v>
      </c>
      <c r="H169" s="3">
        <v>15965.0</v>
      </c>
      <c r="I169" s="3" t="s">
        <v>37</v>
      </c>
      <c r="J169" s="3">
        <v>0.1</v>
      </c>
      <c r="K169" s="3">
        <v>14000.0</v>
      </c>
      <c r="L169" s="15" t="s">
        <v>183</v>
      </c>
      <c r="M169" s="3" t="str">
        <f t="shared" si="1"/>
        <v>Target Achieved</v>
      </c>
      <c r="N169" s="10">
        <f t="shared" si="2"/>
        <v>0.5263788969</v>
      </c>
      <c r="O169" s="11">
        <f t="shared" si="3"/>
        <v>0.1</v>
      </c>
      <c r="P169" s="12">
        <f t="shared" si="4"/>
        <v>14368.5</v>
      </c>
    </row>
    <row r="170" ht="12.75" customHeight="1">
      <c r="A170" s="3" t="s">
        <v>414</v>
      </c>
      <c r="B170" s="3" t="s">
        <v>415</v>
      </c>
      <c r="C170" s="3" t="s">
        <v>76</v>
      </c>
      <c r="D170" s="3" t="s">
        <v>24</v>
      </c>
      <c r="E170" s="3" t="s">
        <v>46</v>
      </c>
      <c r="F170" s="3" t="s">
        <v>52</v>
      </c>
      <c r="G170" s="3" t="s">
        <v>13</v>
      </c>
      <c r="H170" s="3">
        <v>9628.0</v>
      </c>
      <c r="I170" s="3" t="s">
        <v>42</v>
      </c>
      <c r="K170" s="3">
        <v>9000.0</v>
      </c>
      <c r="L170" s="15" t="s">
        <v>211</v>
      </c>
      <c r="M170" s="3" t="str">
        <f t="shared" si="1"/>
        <v>Target Achieved</v>
      </c>
      <c r="N170" s="10">
        <f t="shared" si="2"/>
        <v>0.5258103241</v>
      </c>
      <c r="O170" s="11" t="str">
        <f t="shared" si="3"/>
        <v/>
      </c>
      <c r="P170" s="12">
        <f t="shared" si="4"/>
        <v>8183.8</v>
      </c>
    </row>
    <row r="171" ht="12.75" customHeight="1">
      <c r="A171" s="3" t="s">
        <v>416</v>
      </c>
      <c r="B171" s="3" t="s">
        <v>417</v>
      </c>
      <c r="C171" s="3" t="s">
        <v>45</v>
      </c>
      <c r="D171" s="3" t="s">
        <v>22</v>
      </c>
      <c r="E171" s="3" t="s">
        <v>46</v>
      </c>
      <c r="F171" s="3" t="s">
        <v>41</v>
      </c>
      <c r="G171" s="3" t="s">
        <v>12</v>
      </c>
      <c r="H171" s="3">
        <v>15840.0</v>
      </c>
      <c r="I171" s="3" t="s">
        <v>37</v>
      </c>
      <c r="J171" s="3">
        <v>0.1</v>
      </c>
      <c r="K171" s="3">
        <v>17000.0</v>
      </c>
      <c r="L171" s="3" t="s">
        <v>106</v>
      </c>
      <c r="M171" s="3" t="str">
        <f t="shared" si="1"/>
        <v>Below Target</v>
      </c>
      <c r="N171" s="10">
        <f t="shared" si="2"/>
        <v>0.5252403846</v>
      </c>
      <c r="O171" s="11">
        <f t="shared" si="3"/>
        <v>0.1</v>
      </c>
      <c r="P171" s="12">
        <f t="shared" si="4"/>
        <v>14256</v>
      </c>
    </row>
    <row r="172" ht="12.75" customHeight="1">
      <c r="A172" s="3" t="s">
        <v>418</v>
      </c>
      <c r="B172" s="3" t="s">
        <v>172</v>
      </c>
      <c r="C172" s="3" t="s">
        <v>57</v>
      </c>
      <c r="D172" s="3" t="s">
        <v>19</v>
      </c>
      <c r="E172" s="3" t="s">
        <v>20</v>
      </c>
      <c r="F172" s="3" t="s">
        <v>41</v>
      </c>
      <c r="G172" s="3" t="s">
        <v>13</v>
      </c>
      <c r="H172" s="3">
        <v>12345.0</v>
      </c>
      <c r="I172" s="3" t="s">
        <v>23</v>
      </c>
      <c r="J172" s="3">
        <v>0.2</v>
      </c>
      <c r="K172" s="3">
        <v>13000.0</v>
      </c>
      <c r="L172" s="3" t="s">
        <v>328</v>
      </c>
      <c r="M172" s="3" t="str">
        <f t="shared" si="1"/>
        <v>Below Target</v>
      </c>
      <c r="N172" s="10">
        <f t="shared" si="2"/>
        <v>0.5258724428</v>
      </c>
      <c r="O172" s="11">
        <f t="shared" si="3"/>
        <v>0.2</v>
      </c>
      <c r="P172" s="12">
        <f t="shared" si="4"/>
        <v>9876</v>
      </c>
    </row>
    <row r="173" ht="12.75" customHeight="1">
      <c r="A173" s="3" t="s">
        <v>419</v>
      </c>
      <c r="B173" s="3" t="s">
        <v>75</v>
      </c>
      <c r="C173" s="3" t="s">
        <v>18</v>
      </c>
      <c r="D173" s="3" t="s">
        <v>16</v>
      </c>
      <c r="E173" s="3" t="s">
        <v>58</v>
      </c>
      <c r="F173" s="3" t="s">
        <v>41</v>
      </c>
      <c r="G173" s="3" t="s">
        <v>13</v>
      </c>
      <c r="H173" s="3">
        <v>14212.0</v>
      </c>
      <c r="I173" s="3" t="s">
        <v>47</v>
      </c>
      <c r="J173" s="3">
        <v>0.3</v>
      </c>
      <c r="K173" s="3">
        <v>14000.0</v>
      </c>
      <c r="L173" s="3" t="s">
        <v>330</v>
      </c>
      <c r="M173" s="3" t="str">
        <f t="shared" si="1"/>
        <v>Target Achieved</v>
      </c>
      <c r="N173" s="10">
        <f t="shared" si="2"/>
        <v>0.5265060241</v>
      </c>
      <c r="O173" s="11">
        <f t="shared" si="3"/>
        <v>0.3</v>
      </c>
      <c r="P173" s="12">
        <f t="shared" si="4"/>
        <v>9948.4</v>
      </c>
    </row>
    <row r="174" ht="12.75" customHeight="1">
      <c r="A174" s="3" t="s">
        <v>420</v>
      </c>
      <c r="B174" s="3" t="s">
        <v>421</v>
      </c>
      <c r="C174" s="3" t="s">
        <v>18</v>
      </c>
      <c r="D174" s="3" t="s">
        <v>16</v>
      </c>
      <c r="E174" s="3" t="s">
        <v>46</v>
      </c>
      <c r="F174" s="3" t="s">
        <v>41</v>
      </c>
      <c r="G174" s="3" t="s">
        <v>11</v>
      </c>
      <c r="H174" s="3">
        <v>15235.0</v>
      </c>
      <c r="I174" s="3" t="s">
        <v>23</v>
      </c>
      <c r="J174" s="3">
        <v>0.2</v>
      </c>
      <c r="K174" s="3">
        <v>14000.0</v>
      </c>
      <c r="L174" s="15" t="s">
        <v>275</v>
      </c>
      <c r="M174" s="3" t="str">
        <f t="shared" si="1"/>
        <v>Target Achieved</v>
      </c>
      <c r="N174" s="10">
        <f t="shared" si="2"/>
        <v>0.5259348613</v>
      </c>
      <c r="O174" s="11">
        <f t="shared" si="3"/>
        <v>0.2</v>
      </c>
      <c r="P174" s="12">
        <f t="shared" si="4"/>
        <v>12188</v>
      </c>
    </row>
    <row r="175" ht="12.75" customHeight="1">
      <c r="A175" s="3" t="s">
        <v>423</v>
      </c>
      <c r="B175" s="3" t="s">
        <v>424</v>
      </c>
      <c r="C175" s="3" t="s">
        <v>57</v>
      </c>
      <c r="D175" s="3" t="s">
        <v>19</v>
      </c>
      <c r="E175" s="3" t="s">
        <v>58</v>
      </c>
      <c r="F175" s="3" t="s">
        <v>41</v>
      </c>
      <c r="G175" s="3" t="s">
        <v>13</v>
      </c>
      <c r="H175" s="3">
        <v>14038.0</v>
      </c>
      <c r="K175" s="3">
        <v>13000.0</v>
      </c>
      <c r="L175" s="15" t="s">
        <v>344</v>
      </c>
      <c r="M175" s="3" t="str">
        <f t="shared" si="1"/>
        <v>Target Achieved</v>
      </c>
      <c r="N175" s="10">
        <f t="shared" si="2"/>
        <v>0.5253623188</v>
      </c>
      <c r="O175" s="11">
        <f t="shared" si="3"/>
        <v>0</v>
      </c>
      <c r="P175" s="12">
        <f t="shared" si="4"/>
        <v>14038</v>
      </c>
    </row>
    <row r="176" ht="12.75" customHeight="1">
      <c r="A176" s="3" t="s">
        <v>425</v>
      </c>
      <c r="B176" s="3" t="s">
        <v>220</v>
      </c>
      <c r="C176" s="3" t="s">
        <v>18</v>
      </c>
      <c r="D176" s="3" t="s">
        <v>16</v>
      </c>
      <c r="E176" s="3" t="s">
        <v>58</v>
      </c>
      <c r="F176" s="3" t="s">
        <v>21</v>
      </c>
      <c r="G176" s="3" t="s">
        <v>11</v>
      </c>
      <c r="H176" s="3">
        <v>14102.0</v>
      </c>
      <c r="I176" s="3" t="s">
        <v>42</v>
      </c>
      <c r="K176" s="3">
        <v>14000.0</v>
      </c>
      <c r="L176" s="15" t="s">
        <v>234</v>
      </c>
      <c r="M176" s="3" t="str">
        <f t="shared" si="1"/>
        <v>Target Achieved</v>
      </c>
      <c r="N176" s="10">
        <f t="shared" si="2"/>
        <v>0.5247883918</v>
      </c>
      <c r="O176" s="11" t="str">
        <f t="shared" si="3"/>
        <v/>
      </c>
      <c r="P176" s="12">
        <f t="shared" si="4"/>
        <v>11986.7</v>
      </c>
    </row>
    <row r="177" ht="12.75" customHeight="1">
      <c r="A177" s="3" t="s">
        <v>426</v>
      </c>
      <c r="B177" s="3" t="s">
        <v>427</v>
      </c>
      <c r="C177" s="3" t="s">
        <v>57</v>
      </c>
      <c r="D177" s="3" t="s">
        <v>19</v>
      </c>
      <c r="E177" s="3" t="s">
        <v>20</v>
      </c>
      <c r="F177" s="3" t="s">
        <v>41</v>
      </c>
      <c r="G177" s="3" t="s">
        <v>12</v>
      </c>
      <c r="H177" s="3">
        <v>14208.0</v>
      </c>
      <c r="I177" s="3" t="s">
        <v>42</v>
      </c>
      <c r="K177" s="3">
        <v>13000.0</v>
      </c>
      <c r="L177" s="3" t="s">
        <v>327</v>
      </c>
      <c r="M177" s="3" t="str">
        <f t="shared" si="1"/>
        <v>Target Achieved</v>
      </c>
      <c r="N177" s="10">
        <f t="shared" si="2"/>
        <v>0.5242130751</v>
      </c>
      <c r="O177" s="11" t="str">
        <f t="shared" si="3"/>
        <v/>
      </c>
      <c r="P177" s="12">
        <f t="shared" si="4"/>
        <v>12076.8</v>
      </c>
    </row>
    <row r="178" ht="12.75" customHeight="1">
      <c r="A178" s="3" t="s">
        <v>428</v>
      </c>
      <c r="B178" s="3" t="s">
        <v>429</v>
      </c>
      <c r="C178" s="3" t="s">
        <v>18</v>
      </c>
      <c r="D178" s="3" t="s">
        <v>16</v>
      </c>
      <c r="E178" s="3" t="s">
        <v>46</v>
      </c>
      <c r="F178" s="3" t="s">
        <v>21</v>
      </c>
      <c r="G178" s="3" t="s">
        <v>11</v>
      </c>
      <c r="H178" s="3">
        <v>13746.0</v>
      </c>
      <c r="I178" s="3" t="s">
        <v>37</v>
      </c>
      <c r="J178" s="3">
        <v>0.1</v>
      </c>
      <c r="K178" s="3">
        <v>14000.0</v>
      </c>
      <c r="L178" s="15" t="s">
        <v>177</v>
      </c>
      <c r="M178" s="3" t="str">
        <f t="shared" si="1"/>
        <v>Below Target</v>
      </c>
      <c r="N178" s="10">
        <f t="shared" si="2"/>
        <v>0.5236363636</v>
      </c>
      <c r="O178" s="11">
        <f t="shared" si="3"/>
        <v>0.1</v>
      </c>
      <c r="P178" s="12">
        <f t="shared" si="4"/>
        <v>12371.4</v>
      </c>
    </row>
    <row r="179" ht="12.75" customHeight="1">
      <c r="A179" s="3" t="s">
        <v>430</v>
      </c>
      <c r="B179" s="3" t="s">
        <v>431</v>
      </c>
      <c r="C179" s="3" t="s">
        <v>18</v>
      </c>
      <c r="D179" s="3" t="s">
        <v>16</v>
      </c>
      <c r="E179" s="3" t="s">
        <v>46</v>
      </c>
      <c r="F179" s="3" t="s">
        <v>21</v>
      </c>
      <c r="G179" s="3" t="s">
        <v>12</v>
      </c>
      <c r="H179" s="3">
        <v>12607.0</v>
      </c>
      <c r="I179" s="3" t="s">
        <v>37</v>
      </c>
      <c r="J179" s="3">
        <v>0.1</v>
      </c>
      <c r="K179" s="3">
        <v>14000.0</v>
      </c>
      <c r="L179" s="15" t="s">
        <v>353</v>
      </c>
      <c r="M179" s="3" t="str">
        <f t="shared" si="1"/>
        <v>Below Target</v>
      </c>
      <c r="N179" s="10">
        <f t="shared" si="2"/>
        <v>0.5242718447</v>
      </c>
      <c r="O179" s="11">
        <f t="shared" si="3"/>
        <v>0.1</v>
      </c>
      <c r="P179" s="12">
        <f t="shared" si="4"/>
        <v>11346.3</v>
      </c>
    </row>
    <row r="180" ht="12.75" customHeight="1">
      <c r="A180" s="3" t="s">
        <v>432</v>
      </c>
      <c r="B180" s="3" t="s">
        <v>154</v>
      </c>
      <c r="C180" s="3" t="s">
        <v>45</v>
      </c>
      <c r="D180" s="3" t="s">
        <v>22</v>
      </c>
      <c r="E180" s="3" t="s">
        <v>58</v>
      </c>
      <c r="F180" s="3" t="s">
        <v>52</v>
      </c>
      <c r="G180" s="3" t="s">
        <v>12</v>
      </c>
      <c r="H180" s="3">
        <v>16207.0</v>
      </c>
      <c r="K180" s="3">
        <v>17000.0</v>
      </c>
      <c r="L180" s="15" t="s">
        <v>155</v>
      </c>
      <c r="M180" s="3" t="str">
        <f t="shared" si="1"/>
        <v>Below Target</v>
      </c>
      <c r="N180" s="10">
        <f t="shared" si="2"/>
        <v>0.52490887</v>
      </c>
      <c r="O180" s="11">
        <f t="shared" si="3"/>
        <v>0</v>
      </c>
      <c r="P180" s="12">
        <f t="shared" si="4"/>
        <v>16207</v>
      </c>
    </row>
    <row r="181" ht="12.75" customHeight="1">
      <c r="A181" s="3" t="s">
        <v>433</v>
      </c>
      <c r="B181" s="3" t="s">
        <v>434</v>
      </c>
      <c r="C181" s="3" t="s">
        <v>18</v>
      </c>
      <c r="D181" s="3" t="s">
        <v>16</v>
      </c>
      <c r="E181" s="3" t="s">
        <v>20</v>
      </c>
      <c r="F181" s="3" t="s">
        <v>41</v>
      </c>
      <c r="G181" s="3" t="s">
        <v>12</v>
      </c>
      <c r="H181" s="3">
        <v>14666.0</v>
      </c>
      <c r="I181" s="3" t="s">
        <v>42</v>
      </c>
      <c r="K181" s="3">
        <v>14000.0</v>
      </c>
      <c r="L181" s="3" t="s">
        <v>319</v>
      </c>
      <c r="M181" s="3" t="str">
        <f t="shared" si="1"/>
        <v>Target Achieved</v>
      </c>
      <c r="N181" s="10">
        <f t="shared" si="2"/>
        <v>0.5255474453</v>
      </c>
      <c r="O181" s="11" t="str">
        <f t="shared" si="3"/>
        <v/>
      </c>
      <c r="P181" s="12">
        <f t="shared" si="4"/>
        <v>12466.1</v>
      </c>
    </row>
    <row r="182" ht="12.75" customHeight="1">
      <c r="A182" s="3" t="s">
        <v>435</v>
      </c>
      <c r="B182" s="3" t="s">
        <v>261</v>
      </c>
      <c r="C182" s="3" t="s">
        <v>76</v>
      </c>
      <c r="D182" s="3" t="s">
        <v>24</v>
      </c>
      <c r="E182" s="3" t="s">
        <v>58</v>
      </c>
      <c r="F182" s="3" t="s">
        <v>41</v>
      </c>
      <c r="G182" s="3" t="s">
        <v>11</v>
      </c>
      <c r="H182" s="3">
        <v>8388.0</v>
      </c>
      <c r="K182" s="3">
        <v>9000.0</v>
      </c>
      <c r="L182" s="3" t="s">
        <v>314</v>
      </c>
      <c r="M182" s="3" t="str">
        <f t="shared" si="1"/>
        <v>Below Target</v>
      </c>
      <c r="N182" s="10">
        <f t="shared" si="2"/>
        <v>0.5249695493</v>
      </c>
      <c r="O182" s="11">
        <f t="shared" si="3"/>
        <v>0</v>
      </c>
      <c r="P182" s="12">
        <f t="shared" si="4"/>
        <v>8388</v>
      </c>
    </row>
    <row r="183" ht="12.75" customHeight="1">
      <c r="A183" s="3" t="s">
        <v>436</v>
      </c>
      <c r="B183" s="3" t="s">
        <v>134</v>
      </c>
      <c r="C183" s="3" t="s">
        <v>18</v>
      </c>
      <c r="D183" s="3" t="s">
        <v>16</v>
      </c>
      <c r="E183" s="3" t="s">
        <v>58</v>
      </c>
      <c r="F183" s="3" t="s">
        <v>21</v>
      </c>
      <c r="G183" s="3" t="s">
        <v>11</v>
      </c>
      <c r="H183" s="3">
        <v>14724.0</v>
      </c>
      <c r="I183" s="3" t="s">
        <v>47</v>
      </c>
      <c r="J183" s="3">
        <v>0.3</v>
      </c>
      <c r="K183" s="3">
        <v>14000.0</v>
      </c>
      <c r="L183" s="3" t="s">
        <v>336</v>
      </c>
      <c r="M183" s="3" t="str">
        <f t="shared" si="1"/>
        <v>Target Achieved</v>
      </c>
      <c r="N183" s="10">
        <f t="shared" si="2"/>
        <v>0.5256097561</v>
      </c>
      <c r="O183" s="11">
        <f t="shared" si="3"/>
        <v>0.3</v>
      </c>
      <c r="P183" s="12">
        <f t="shared" si="4"/>
        <v>10306.8</v>
      </c>
    </row>
    <row r="184" ht="12.75" customHeight="1">
      <c r="A184" s="3" t="s">
        <v>437</v>
      </c>
      <c r="B184" s="3" t="s">
        <v>148</v>
      </c>
      <c r="C184" s="3" t="s">
        <v>76</v>
      </c>
      <c r="D184" s="3" t="s">
        <v>24</v>
      </c>
      <c r="E184" s="3" t="s">
        <v>46</v>
      </c>
      <c r="F184" s="3" t="s">
        <v>41</v>
      </c>
      <c r="G184" s="3" t="s">
        <v>13</v>
      </c>
      <c r="H184" s="3">
        <v>7381.0</v>
      </c>
      <c r="K184" s="3">
        <v>9000.0</v>
      </c>
      <c r="L184" s="15" t="s">
        <v>234</v>
      </c>
      <c r="M184" s="3" t="str">
        <f t="shared" si="1"/>
        <v>Below Target</v>
      </c>
      <c r="N184" s="10">
        <f t="shared" si="2"/>
        <v>0.525030525</v>
      </c>
      <c r="O184" s="11">
        <f t="shared" si="3"/>
        <v>0</v>
      </c>
      <c r="P184" s="12">
        <f t="shared" si="4"/>
        <v>7381</v>
      </c>
    </row>
    <row r="185" ht="12.75" customHeight="1">
      <c r="A185" s="3" t="s">
        <v>438</v>
      </c>
      <c r="B185" s="3" t="s">
        <v>439</v>
      </c>
      <c r="C185" s="3" t="s">
        <v>45</v>
      </c>
      <c r="D185" s="3" t="s">
        <v>22</v>
      </c>
      <c r="E185" s="3" t="s">
        <v>46</v>
      </c>
      <c r="F185" s="3" t="s">
        <v>52</v>
      </c>
      <c r="G185" s="3" t="s">
        <v>13</v>
      </c>
      <c r="H185" s="3">
        <v>17402.0</v>
      </c>
      <c r="I185" s="3" t="s">
        <v>42</v>
      </c>
      <c r="K185" s="3">
        <v>17000.0</v>
      </c>
      <c r="L185" s="15" t="s">
        <v>349</v>
      </c>
      <c r="M185" s="3" t="str">
        <f t="shared" si="1"/>
        <v>Target Achieved</v>
      </c>
      <c r="N185" s="10">
        <f t="shared" si="2"/>
        <v>0.5256723716</v>
      </c>
      <c r="O185" s="11" t="str">
        <f t="shared" si="3"/>
        <v/>
      </c>
      <c r="P185" s="12">
        <f t="shared" si="4"/>
        <v>14791.7</v>
      </c>
    </row>
    <row r="186" ht="12.75" customHeight="1">
      <c r="A186" s="3" t="s">
        <v>440</v>
      </c>
      <c r="B186" s="3" t="s">
        <v>192</v>
      </c>
      <c r="C186" s="3" t="s">
        <v>18</v>
      </c>
      <c r="D186" s="3" t="s">
        <v>16</v>
      </c>
      <c r="E186" s="3" t="s">
        <v>58</v>
      </c>
      <c r="F186" s="3" t="s">
        <v>21</v>
      </c>
      <c r="G186" s="3" t="s">
        <v>12</v>
      </c>
      <c r="H186" s="3">
        <v>15854.0</v>
      </c>
      <c r="K186" s="3">
        <v>14000.0</v>
      </c>
      <c r="L186" s="3" t="s">
        <v>139</v>
      </c>
      <c r="M186" s="3" t="str">
        <f t="shared" si="1"/>
        <v>Target Achieved</v>
      </c>
      <c r="N186" s="10">
        <f t="shared" si="2"/>
        <v>0.5250917993</v>
      </c>
      <c r="O186" s="11">
        <f t="shared" si="3"/>
        <v>0</v>
      </c>
      <c r="P186" s="12">
        <f t="shared" si="4"/>
        <v>15854</v>
      </c>
    </row>
    <row r="187" ht="12.75" customHeight="1">
      <c r="A187" s="3" t="s">
        <v>441</v>
      </c>
      <c r="B187" s="3" t="s">
        <v>343</v>
      </c>
      <c r="C187" s="3" t="s">
        <v>18</v>
      </c>
      <c r="D187" s="3" t="s">
        <v>16</v>
      </c>
      <c r="E187" s="3" t="s">
        <v>58</v>
      </c>
      <c r="F187" s="3" t="s">
        <v>52</v>
      </c>
      <c r="G187" s="3" t="s">
        <v>11</v>
      </c>
      <c r="H187" s="3">
        <v>13440.0</v>
      </c>
      <c r="I187" s="3" t="s">
        <v>37</v>
      </c>
      <c r="J187" s="3">
        <v>0.1</v>
      </c>
      <c r="K187" s="3">
        <v>14000.0</v>
      </c>
      <c r="L187" s="15" t="s">
        <v>352</v>
      </c>
      <c r="M187" s="3" t="str">
        <f t="shared" si="1"/>
        <v>Below Target</v>
      </c>
      <c r="N187" s="10">
        <f t="shared" si="2"/>
        <v>0.5245098039</v>
      </c>
      <c r="O187" s="11">
        <f t="shared" si="3"/>
        <v>0.1</v>
      </c>
      <c r="P187" s="12">
        <f t="shared" si="4"/>
        <v>12096</v>
      </c>
    </row>
    <row r="188" ht="12.75" customHeight="1">
      <c r="A188" s="3" t="s">
        <v>442</v>
      </c>
      <c r="B188" s="3" t="s">
        <v>443</v>
      </c>
      <c r="C188" s="3" t="s">
        <v>57</v>
      </c>
      <c r="D188" s="3" t="s">
        <v>19</v>
      </c>
      <c r="E188" s="3" t="s">
        <v>20</v>
      </c>
      <c r="F188" s="3" t="s">
        <v>21</v>
      </c>
      <c r="G188" s="3" t="s">
        <v>13</v>
      </c>
      <c r="H188" s="3">
        <v>14470.0</v>
      </c>
      <c r="I188" s="3" t="s">
        <v>37</v>
      </c>
      <c r="J188" s="3">
        <v>0.1</v>
      </c>
      <c r="K188" s="3">
        <v>13000.0</v>
      </c>
      <c r="L188" s="3" t="s">
        <v>334</v>
      </c>
      <c r="M188" s="3" t="str">
        <f t="shared" si="1"/>
        <v>Target Achieved</v>
      </c>
      <c r="N188" s="10">
        <f t="shared" si="2"/>
        <v>0.5251533742</v>
      </c>
      <c r="O188" s="11">
        <f t="shared" si="3"/>
        <v>0.1</v>
      </c>
      <c r="P188" s="12">
        <f t="shared" si="4"/>
        <v>13023</v>
      </c>
    </row>
    <row r="189" ht="12.75" customHeight="1">
      <c r="A189" s="3" t="s">
        <v>444</v>
      </c>
      <c r="B189" s="3" t="s">
        <v>185</v>
      </c>
      <c r="C189" s="3" t="s">
        <v>45</v>
      </c>
      <c r="D189" s="3" t="s">
        <v>22</v>
      </c>
      <c r="E189" s="3" t="s">
        <v>46</v>
      </c>
      <c r="F189" s="3" t="s">
        <v>21</v>
      </c>
      <c r="G189" s="3" t="s">
        <v>12</v>
      </c>
      <c r="H189" s="3">
        <v>15926.0</v>
      </c>
      <c r="K189" s="3">
        <v>17000.0</v>
      </c>
      <c r="L189" s="3" t="s">
        <v>77</v>
      </c>
      <c r="M189" s="3" t="str">
        <f t="shared" si="1"/>
        <v>Below Target</v>
      </c>
      <c r="N189" s="10">
        <f t="shared" si="2"/>
        <v>0.5245700246</v>
      </c>
      <c r="O189" s="11">
        <f t="shared" si="3"/>
        <v>0</v>
      </c>
      <c r="P189" s="12">
        <f t="shared" si="4"/>
        <v>15926</v>
      </c>
    </row>
    <row r="190" ht="12.75" customHeight="1">
      <c r="A190" s="3" t="s">
        <v>445</v>
      </c>
      <c r="B190" s="3" t="s">
        <v>108</v>
      </c>
      <c r="C190" s="3" t="s">
        <v>18</v>
      </c>
      <c r="D190" s="3" t="s">
        <v>16</v>
      </c>
      <c r="E190" s="3" t="s">
        <v>20</v>
      </c>
      <c r="F190" s="3" t="s">
        <v>52</v>
      </c>
      <c r="G190" s="3" t="s">
        <v>12</v>
      </c>
      <c r="H190" s="3">
        <v>13095.0</v>
      </c>
      <c r="I190" s="3" t="s">
        <v>37</v>
      </c>
      <c r="J190" s="3">
        <v>0.1</v>
      </c>
      <c r="K190" s="3">
        <v>14000.0</v>
      </c>
      <c r="L190" s="15" t="s">
        <v>316</v>
      </c>
      <c r="M190" s="3" t="str">
        <f t="shared" si="1"/>
        <v>Below Target</v>
      </c>
      <c r="N190" s="10">
        <f t="shared" si="2"/>
        <v>0.5252152522</v>
      </c>
      <c r="O190" s="11">
        <f t="shared" si="3"/>
        <v>0.1</v>
      </c>
      <c r="P190" s="12">
        <f t="shared" si="4"/>
        <v>11785.5</v>
      </c>
    </row>
    <row r="191" ht="12.75" customHeight="1">
      <c r="A191" s="3" t="s">
        <v>447</v>
      </c>
      <c r="B191" s="3" t="s">
        <v>448</v>
      </c>
      <c r="C191" s="3" t="s">
        <v>45</v>
      </c>
      <c r="D191" s="3" t="s">
        <v>22</v>
      </c>
      <c r="E191" s="3" t="s">
        <v>58</v>
      </c>
      <c r="F191" s="3" t="s">
        <v>21</v>
      </c>
      <c r="G191" s="3" t="s">
        <v>13</v>
      </c>
      <c r="H191" s="3">
        <v>15743.0</v>
      </c>
      <c r="I191" s="3" t="s">
        <v>23</v>
      </c>
      <c r="J191" s="3">
        <v>0.2</v>
      </c>
      <c r="K191" s="3">
        <v>17000.0</v>
      </c>
      <c r="L191" s="15" t="s">
        <v>352</v>
      </c>
      <c r="M191" s="3" t="str">
        <f t="shared" si="1"/>
        <v>Below Target</v>
      </c>
      <c r="N191" s="10">
        <f t="shared" si="2"/>
        <v>0.525862069</v>
      </c>
      <c r="O191" s="11">
        <f t="shared" si="3"/>
        <v>0.2</v>
      </c>
      <c r="P191" s="12">
        <f t="shared" si="4"/>
        <v>12594.4</v>
      </c>
    </row>
    <row r="192" ht="12.75" customHeight="1">
      <c r="A192" s="3" t="s">
        <v>449</v>
      </c>
      <c r="B192" s="3" t="s">
        <v>119</v>
      </c>
      <c r="C192" s="3" t="s">
        <v>18</v>
      </c>
      <c r="D192" s="3" t="s">
        <v>16</v>
      </c>
      <c r="E192" s="3" t="s">
        <v>46</v>
      </c>
      <c r="F192" s="3" t="s">
        <v>52</v>
      </c>
      <c r="G192" s="3" t="s">
        <v>12</v>
      </c>
      <c r="H192" s="3">
        <v>15980.0</v>
      </c>
      <c r="I192" s="3" t="s">
        <v>37</v>
      </c>
      <c r="J192" s="3">
        <v>0.1</v>
      </c>
      <c r="K192" s="3">
        <v>14000.0</v>
      </c>
      <c r="L192" s="15" t="s">
        <v>123</v>
      </c>
      <c r="M192" s="3" t="str">
        <f t="shared" si="1"/>
        <v>Target Achieved</v>
      </c>
      <c r="N192" s="10">
        <f t="shared" si="2"/>
        <v>0.5265104809</v>
      </c>
      <c r="O192" s="11">
        <f t="shared" si="3"/>
        <v>0.1</v>
      </c>
      <c r="P192" s="12">
        <f t="shared" si="4"/>
        <v>14382</v>
      </c>
    </row>
    <row r="193" ht="12.75" customHeight="1">
      <c r="A193" s="3" t="s">
        <v>450</v>
      </c>
      <c r="B193" s="3" t="s">
        <v>136</v>
      </c>
      <c r="C193" s="3" t="s">
        <v>57</v>
      </c>
      <c r="D193" s="3" t="s">
        <v>19</v>
      </c>
      <c r="E193" s="3" t="s">
        <v>58</v>
      </c>
      <c r="F193" s="3" t="s">
        <v>21</v>
      </c>
      <c r="G193" s="3" t="s">
        <v>11</v>
      </c>
      <c r="H193" s="3">
        <v>12396.0</v>
      </c>
      <c r="I193" s="3" t="s">
        <v>23</v>
      </c>
      <c r="J193" s="3">
        <v>0.2</v>
      </c>
      <c r="K193" s="3">
        <v>13000.0</v>
      </c>
      <c r="L193" s="3" t="s">
        <v>336</v>
      </c>
      <c r="M193" s="3" t="str">
        <f t="shared" si="1"/>
        <v>Below Target</v>
      </c>
      <c r="N193" s="10">
        <f t="shared" si="2"/>
        <v>0.5259259259</v>
      </c>
      <c r="O193" s="11">
        <f t="shared" si="3"/>
        <v>0.2</v>
      </c>
      <c r="P193" s="12">
        <f t="shared" si="4"/>
        <v>9916.8</v>
      </c>
    </row>
    <row r="194" ht="12.75" customHeight="1">
      <c r="A194" s="3" t="s">
        <v>452</v>
      </c>
      <c r="B194" s="3" t="s">
        <v>448</v>
      </c>
      <c r="C194" s="3" t="s">
        <v>45</v>
      </c>
      <c r="D194" s="3" t="s">
        <v>22</v>
      </c>
      <c r="E194" s="3" t="s">
        <v>20</v>
      </c>
      <c r="F194" s="3" t="s">
        <v>52</v>
      </c>
      <c r="G194" s="3" t="s">
        <v>13</v>
      </c>
      <c r="H194" s="3">
        <v>18618.0</v>
      </c>
      <c r="I194" s="3" t="s">
        <v>37</v>
      </c>
      <c r="J194" s="3">
        <v>0.1</v>
      </c>
      <c r="K194" s="3">
        <v>17000.0</v>
      </c>
      <c r="L194" s="15" t="s">
        <v>114</v>
      </c>
      <c r="M194" s="3" t="str">
        <f t="shared" si="1"/>
        <v>Target Achieved</v>
      </c>
      <c r="N194" s="10">
        <f t="shared" si="2"/>
        <v>0.5265760198</v>
      </c>
      <c r="O194" s="11">
        <f t="shared" si="3"/>
        <v>0.1</v>
      </c>
      <c r="P194" s="12">
        <f t="shared" si="4"/>
        <v>16756.2</v>
      </c>
    </row>
    <row r="195" ht="12.75" customHeight="1">
      <c r="A195" s="3" t="s">
        <v>453</v>
      </c>
      <c r="B195" s="3" t="s">
        <v>174</v>
      </c>
      <c r="C195" s="3" t="s">
        <v>18</v>
      </c>
      <c r="D195" s="3" t="s">
        <v>16</v>
      </c>
      <c r="E195" s="3" t="s">
        <v>20</v>
      </c>
      <c r="F195" s="3" t="s">
        <v>41</v>
      </c>
      <c r="G195" s="3" t="s">
        <v>11</v>
      </c>
      <c r="H195" s="3">
        <v>13814.0</v>
      </c>
      <c r="K195" s="3">
        <v>14000.0</v>
      </c>
      <c r="L195" s="15" t="s">
        <v>177</v>
      </c>
      <c r="M195" s="3" t="str">
        <f t="shared" si="1"/>
        <v>Below Target</v>
      </c>
      <c r="N195" s="10">
        <f t="shared" si="2"/>
        <v>0.525990099</v>
      </c>
      <c r="O195" s="11">
        <f t="shared" si="3"/>
        <v>0</v>
      </c>
      <c r="P195" s="12">
        <f t="shared" si="4"/>
        <v>13814</v>
      </c>
    </row>
    <row r="196" ht="12.75" customHeight="1">
      <c r="A196" s="3" t="s">
        <v>454</v>
      </c>
      <c r="B196" s="3" t="s">
        <v>455</v>
      </c>
      <c r="C196" s="3" t="s">
        <v>76</v>
      </c>
      <c r="D196" s="3" t="s">
        <v>24</v>
      </c>
      <c r="E196" s="3" t="s">
        <v>58</v>
      </c>
      <c r="F196" s="3" t="s">
        <v>41</v>
      </c>
      <c r="G196" s="3" t="s">
        <v>12</v>
      </c>
      <c r="H196" s="3">
        <v>7466.0</v>
      </c>
      <c r="I196" s="3" t="s">
        <v>47</v>
      </c>
      <c r="J196" s="3">
        <v>0.3</v>
      </c>
      <c r="K196" s="3">
        <v>9000.0</v>
      </c>
      <c r="L196" s="3" t="s">
        <v>117</v>
      </c>
      <c r="M196" s="3" t="str">
        <f t="shared" si="1"/>
        <v>Below Target</v>
      </c>
      <c r="N196" s="10">
        <f t="shared" si="2"/>
        <v>0.5266418835</v>
      </c>
      <c r="O196" s="11">
        <f t="shared" si="3"/>
        <v>0.3</v>
      </c>
      <c r="P196" s="12">
        <f t="shared" si="4"/>
        <v>5226.2</v>
      </c>
    </row>
    <row r="197" ht="12.75" customHeight="1">
      <c r="A197" s="3" t="s">
        <v>457</v>
      </c>
      <c r="B197" s="3" t="s">
        <v>351</v>
      </c>
      <c r="C197" s="3" t="s">
        <v>76</v>
      </c>
      <c r="D197" s="3" t="s">
        <v>24</v>
      </c>
      <c r="E197" s="3" t="s">
        <v>20</v>
      </c>
      <c r="F197" s="3" t="s">
        <v>52</v>
      </c>
      <c r="G197" s="3" t="s">
        <v>11</v>
      </c>
      <c r="H197" s="3">
        <v>7186.0</v>
      </c>
      <c r="I197" s="3" t="s">
        <v>23</v>
      </c>
      <c r="J197" s="3">
        <v>0.2</v>
      </c>
      <c r="K197" s="3">
        <v>9000.0</v>
      </c>
      <c r="L197" s="3" t="s">
        <v>314</v>
      </c>
      <c r="M197" s="3" t="str">
        <f t="shared" si="1"/>
        <v>Below Target</v>
      </c>
      <c r="N197" s="10">
        <f t="shared" si="2"/>
        <v>0.5272952854</v>
      </c>
      <c r="O197" s="11">
        <f t="shared" si="3"/>
        <v>0.2</v>
      </c>
      <c r="P197" s="12">
        <f t="shared" si="4"/>
        <v>5748.8</v>
      </c>
    </row>
    <row r="198" ht="12.75" customHeight="1">
      <c r="A198" s="3" t="s">
        <v>458</v>
      </c>
      <c r="B198" s="3" t="s">
        <v>459</v>
      </c>
      <c r="C198" s="3" t="s">
        <v>18</v>
      </c>
      <c r="D198" s="3" t="s">
        <v>16</v>
      </c>
      <c r="E198" s="3" t="s">
        <v>46</v>
      </c>
      <c r="F198" s="3" t="s">
        <v>21</v>
      </c>
      <c r="G198" s="3" t="s">
        <v>13</v>
      </c>
      <c r="H198" s="3">
        <v>15143.0</v>
      </c>
      <c r="I198" s="3" t="s">
        <v>23</v>
      </c>
      <c r="J198" s="3">
        <v>0.2</v>
      </c>
      <c r="K198" s="3">
        <v>14000.0</v>
      </c>
      <c r="L198" s="3" t="s">
        <v>323</v>
      </c>
      <c r="M198" s="3" t="str">
        <f t="shared" si="1"/>
        <v>Target Achieved</v>
      </c>
      <c r="N198" s="10">
        <f t="shared" si="2"/>
        <v>0.5279503106</v>
      </c>
      <c r="O198" s="11">
        <f t="shared" si="3"/>
        <v>0.2</v>
      </c>
      <c r="P198" s="12">
        <f t="shared" si="4"/>
        <v>12114.4</v>
      </c>
    </row>
    <row r="199" ht="12.75" customHeight="1">
      <c r="A199" s="3" t="s">
        <v>460</v>
      </c>
      <c r="B199" s="3" t="s">
        <v>461</v>
      </c>
      <c r="C199" s="3" t="s">
        <v>45</v>
      </c>
      <c r="D199" s="3" t="s">
        <v>22</v>
      </c>
      <c r="E199" s="3" t="s">
        <v>46</v>
      </c>
      <c r="F199" s="3" t="s">
        <v>41</v>
      </c>
      <c r="G199" s="3" t="s">
        <v>11</v>
      </c>
      <c r="H199" s="3">
        <v>18059.0</v>
      </c>
      <c r="K199" s="3">
        <v>17000.0</v>
      </c>
      <c r="L199" s="15" t="s">
        <v>316</v>
      </c>
      <c r="M199" s="3" t="str">
        <f t="shared" si="1"/>
        <v>Target Achieved</v>
      </c>
      <c r="N199" s="10">
        <f t="shared" si="2"/>
        <v>0.5273631841</v>
      </c>
      <c r="O199" s="11">
        <f t="shared" si="3"/>
        <v>0</v>
      </c>
      <c r="P199" s="12">
        <f t="shared" si="4"/>
        <v>18059</v>
      </c>
    </row>
    <row r="200" ht="12.75" customHeight="1">
      <c r="A200" s="3" t="s">
        <v>462</v>
      </c>
      <c r="B200" s="3" t="s">
        <v>463</v>
      </c>
      <c r="C200" s="3" t="s">
        <v>57</v>
      </c>
      <c r="D200" s="3" t="s">
        <v>19</v>
      </c>
      <c r="E200" s="3" t="s">
        <v>20</v>
      </c>
      <c r="F200" s="3" t="s">
        <v>52</v>
      </c>
      <c r="G200" s="3" t="s">
        <v>12</v>
      </c>
      <c r="H200" s="3">
        <v>14302.0</v>
      </c>
      <c r="I200" s="3" t="s">
        <v>47</v>
      </c>
      <c r="J200" s="3">
        <v>0.3</v>
      </c>
      <c r="K200" s="3">
        <v>13000.0</v>
      </c>
      <c r="L200" s="15" t="s">
        <v>109</v>
      </c>
      <c r="M200" s="3" t="str">
        <f t="shared" si="1"/>
        <v>Target Achieved</v>
      </c>
      <c r="N200" s="10">
        <f t="shared" si="2"/>
        <v>0.5267745953</v>
      </c>
      <c r="O200" s="11">
        <f t="shared" si="3"/>
        <v>0.3</v>
      </c>
      <c r="P200" s="12">
        <f t="shared" si="4"/>
        <v>10011.4</v>
      </c>
    </row>
    <row r="201" ht="12.75" customHeight="1">
      <c r="A201" s="3" t="s">
        <v>464</v>
      </c>
      <c r="B201" s="3" t="s">
        <v>405</v>
      </c>
      <c r="C201" s="3" t="s">
        <v>18</v>
      </c>
      <c r="D201" s="3" t="s">
        <v>16</v>
      </c>
      <c r="E201" s="3" t="s">
        <v>58</v>
      </c>
      <c r="F201" s="3" t="s">
        <v>41</v>
      </c>
      <c r="G201" s="3" t="s">
        <v>11</v>
      </c>
      <c r="H201" s="3">
        <v>15773.0</v>
      </c>
      <c r="I201" s="3" t="s">
        <v>37</v>
      </c>
      <c r="J201" s="3">
        <v>0.1</v>
      </c>
      <c r="K201" s="3">
        <v>14000.0</v>
      </c>
      <c r="L201" s="3" t="s">
        <v>139</v>
      </c>
      <c r="M201" s="3" t="str">
        <f t="shared" si="1"/>
        <v>Target Achieved</v>
      </c>
      <c r="N201" s="10">
        <f t="shared" si="2"/>
        <v>0.5261845387</v>
      </c>
      <c r="O201" s="11">
        <f t="shared" si="3"/>
        <v>0.1</v>
      </c>
      <c r="P201" s="12">
        <f t="shared" si="4"/>
        <v>14195.7</v>
      </c>
    </row>
    <row r="202" ht="12.75" customHeight="1">
      <c r="A202" s="3" t="s">
        <v>465</v>
      </c>
      <c r="B202" s="3" t="s">
        <v>51</v>
      </c>
      <c r="C202" s="3" t="s">
        <v>76</v>
      </c>
      <c r="D202" s="3" t="s">
        <v>24</v>
      </c>
      <c r="E202" s="3" t="s">
        <v>20</v>
      </c>
      <c r="F202" s="3" t="s">
        <v>21</v>
      </c>
      <c r="G202" s="3" t="s">
        <v>12</v>
      </c>
      <c r="H202" s="3">
        <v>9622.0</v>
      </c>
      <c r="K202" s="3">
        <v>9000.0</v>
      </c>
      <c r="L202" s="3" t="s">
        <v>268</v>
      </c>
      <c r="M202" s="3" t="str">
        <f t="shared" si="1"/>
        <v>Target Achieved</v>
      </c>
      <c r="N202" s="10">
        <f t="shared" si="2"/>
        <v>0.5255930087</v>
      </c>
      <c r="O202" s="11">
        <f t="shared" si="3"/>
        <v>0</v>
      </c>
      <c r="P202" s="12">
        <f t="shared" si="4"/>
        <v>9622</v>
      </c>
    </row>
    <row r="203" ht="12.75" customHeight="1">
      <c r="A203" s="3" t="s">
        <v>466</v>
      </c>
      <c r="B203" s="3" t="s">
        <v>82</v>
      </c>
      <c r="C203" s="3" t="s">
        <v>18</v>
      </c>
      <c r="D203" s="3" t="s">
        <v>16</v>
      </c>
      <c r="E203" s="3" t="s">
        <v>58</v>
      </c>
      <c r="F203" s="3" t="s">
        <v>41</v>
      </c>
      <c r="G203" s="3" t="s">
        <v>12</v>
      </c>
      <c r="H203" s="3">
        <v>13884.0</v>
      </c>
      <c r="I203" s="3" t="s">
        <v>47</v>
      </c>
      <c r="J203" s="3">
        <v>0.3</v>
      </c>
      <c r="K203" s="3">
        <v>14000.0</v>
      </c>
      <c r="L203" s="15" t="s">
        <v>123</v>
      </c>
      <c r="M203" s="3" t="str">
        <f t="shared" si="1"/>
        <v>Below Target</v>
      </c>
      <c r="N203" s="10">
        <f t="shared" si="2"/>
        <v>0.525</v>
      </c>
      <c r="O203" s="11">
        <f t="shared" si="3"/>
        <v>0.3</v>
      </c>
      <c r="P203" s="12">
        <f t="shared" si="4"/>
        <v>9718.8</v>
      </c>
    </row>
    <row r="204" ht="12.75" customHeight="1">
      <c r="A204" s="3" t="s">
        <v>467</v>
      </c>
      <c r="B204" s="3" t="s">
        <v>405</v>
      </c>
      <c r="C204" s="3" t="s">
        <v>18</v>
      </c>
      <c r="D204" s="3" t="s">
        <v>16</v>
      </c>
      <c r="E204" s="3" t="s">
        <v>46</v>
      </c>
      <c r="F204" s="3" t="s">
        <v>21</v>
      </c>
      <c r="G204" s="3" t="s">
        <v>12</v>
      </c>
      <c r="H204" s="3">
        <v>13640.0</v>
      </c>
      <c r="I204" s="3" t="s">
        <v>42</v>
      </c>
      <c r="K204" s="3">
        <v>14000.0</v>
      </c>
      <c r="L204" s="15" t="s">
        <v>123</v>
      </c>
      <c r="M204" s="3" t="str">
        <f t="shared" si="1"/>
        <v>Below Target</v>
      </c>
      <c r="N204" s="10">
        <f t="shared" si="2"/>
        <v>0.5256570713</v>
      </c>
      <c r="O204" s="11" t="str">
        <f t="shared" si="3"/>
        <v/>
      </c>
      <c r="P204" s="12">
        <f t="shared" si="4"/>
        <v>11594</v>
      </c>
    </row>
    <row r="205" ht="12.75" customHeight="1">
      <c r="A205" s="3" t="s">
        <v>468</v>
      </c>
      <c r="B205" s="3" t="s">
        <v>405</v>
      </c>
      <c r="C205" s="3" t="s">
        <v>45</v>
      </c>
      <c r="D205" s="3" t="s">
        <v>22</v>
      </c>
      <c r="E205" s="3" t="s">
        <v>20</v>
      </c>
      <c r="F205" s="3" t="s">
        <v>21</v>
      </c>
      <c r="G205" s="3" t="s">
        <v>13</v>
      </c>
      <c r="H205" s="3">
        <v>16364.0</v>
      </c>
      <c r="I205" s="3" t="s">
        <v>23</v>
      </c>
      <c r="J205" s="3">
        <v>0.2</v>
      </c>
      <c r="K205" s="3">
        <v>17000.0</v>
      </c>
      <c r="L205" s="15" t="s">
        <v>109</v>
      </c>
      <c r="M205" s="3" t="str">
        <f t="shared" si="1"/>
        <v>Below Target</v>
      </c>
      <c r="N205" s="10">
        <f t="shared" si="2"/>
        <v>0.5263157895</v>
      </c>
      <c r="O205" s="11">
        <f t="shared" si="3"/>
        <v>0.2</v>
      </c>
      <c r="P205" s="12">
        <f t="shared" si="4"/>
        <v>13091.2</v>
      </c>
    </row>
    <row r="206" ht="12.75" customHeight="1">
      <c r="A206" s="3" t="s">
        <v>469</v>
      </c>
      <c r="B206" s="3" t="s">
        <v>255</v>
      </c>
      <c r="C206" s="3" t="s">
        <v>18</v>
      </c>
      <c r="D206" s="3" t="s">
        <v>16</v>
      </c>
      <c r="E206" s="3" t="s">
        <v>20</v>
      </c>
      <c r="F206" s="3" t="s">
        <v>52</v>
      </c>
      <c r="G206" s="3" t="s">
        <v>13</v>
      </c>
      <c r="H206" s="3">
        <v>15710.0</v>
      </c>
      <c r="I206" s="3" t="s">
        <v>47</v>
      </c>
      <c r="J206" s="3">
        <v>0.3</v>
      </c>
      <c r="K206" s="3">
        <v>14000.0</v>
      </c>
      <c r="L206" s="3" t="s">
        <v>334</v>
      </c>
      <c r="M206" s="3" t="str">
        <f t="shared" si="1"/>
        <v>Target Achieved</v>
      </c>
      <c r="N206" s="10">
        <f t="shared" si="2"/>
        <v>0.5269761606</v>
      </c>
      <c r="O206" s="11">
        <f t="shared" si="3"/>
        <v>0.3</v>
      </c>
      <c r="P206" s="12">
        <f t="shared" si="4"/>
        <v>10997</v>
      </c>
    </row>
    <row r="207" ht="12.75" customHeight="1">
      <c r="A207" s="3" t="s">
        <v>470</v>
      </c>
      <c r="B207" s="3" t="s">
        <v>471</v>
      </c>
      <c r="C207" s="3" t="s">
        <v>57</v>
      </c>
      <c r="D207" s="3" t="s">
        <v>19</v>
      </c>
      <c r="E207" s="3" t="s">
        <v>46</v>
      </c>
      <c r="F207" s="3" t="s">
        <v>41</v>
      </c>
      <c r="G207" s="3" t="s">
        <v>13</v>
      </c>
      <c r="H207" s="3">
        <v>12048.0</v>
      </c>
      <c r="I207" s="3" t="s">
        <v>23</v>
      </c>
      <c r="J207" s="3">
        <v>0.2</v>
      </c>
      <c r="K207" s="3">
        <v>13000.0</v>
      </c>
      <c r="L207" s="15" t="s">
        <v>316</v>
      </c>
      <c r="M207" s="3" t="str">
        <f t="shared" si="1"/>
        <v>Below Target</v>
      </c>
      <c r="N207" s="10">
        <f t="shared" si="2"/>
        <v>0.5263819095</v>
      </c>
      <c r="O207" s="11">
        <f t="shared" si="3"/>
        <v>0.2</v>
      </c>
      <c r="P207" s="12">
        <f t="shared" si="4"/>
        <v>9638.4</v>
      </c>
    </row>
    <row r="208" ht="12.75" customHeight="1">
      <c r="A208" s="3" t="s">
        <v>472</v>
      </c>
      <c r="B208" s="3" t="s">
        <v>473</v>
      </c>
      <c r="C208" s="3" t="s">
        <v>18</v>
      </c>
      <c r="D208" s="3" t="s">
        <v>16</v>
      </c>
      <c r="E208" s="3" t="s">
        <v>46</v>
      </c>
      <c r="F208" s="3" t="s">
        <v>52</v>
      </c>
      <c r="G208" s="3" t="s">
        <v>11</v>
      </c>
      <c r="H208" s="3">
        <v>13900.0</v>
      </c>
      <c r="I208" s="3" t="s">
        <v>42</v>
      </c>
      <c r="K208" s="3">
        <v>14000.0</v>
      </c>
      <c r="L208" s="3" t="s">
        <v>323</v>
      </c>
      <c r="M208" s="3" t="str">
        <f t="shared" si="1"/>
        <v>Below Target</v>
      </c>
      <c r="N208" s="10">
        <f t="shared" si="2"/>
        <v>0.5270440252</v>
      </c>
      <c r="O208" s="11" t="str">
        <f t="shared" si="3"/>
        <v/>
      </c>
      <c r="P208" s="12">
        <f t="shared" si="4"/>
        <v>11815</v>
      </c>
    </row>
    <row r="209" ht="12.75" customHeight="1">
      <c r="A209" s="3" t="s">
        <v>474</v>
      </c>
      <c r="B209" s="3" t="s">
        <v>455</v>
      </c>
      <c r="C209" s="3" t="s">
        <v>45</v>
      </c>
      <c r="D209" s="3" t="s">
        <v>22</v>
      </c>
      <c r="E209" s="3" t="s">
        <v>20</v>
      </c>
      <c r="F209" s="3" t="s">
        <v>21</v>
      </c>
      <c r="G209" s="3" t="s">
        <v>13</v>
      </c>
      <c r="H209" s="3">
        <v>16801.0</v>
      </c>
      <c r="I209" s="3" t="s">
        <v>37</v>
      </c>
      <c r="J209" s="3">
        <v>0.1</v>
      </c>
      <c r="K209" s="3">
        <v>17000.0</v>
      </c>
      <c r="L209" s="3" t="s">
        <v>283</v>
      </c>
      <c r="M209" s="3" t="str">
        <f t="shared" si="1"/>
        <v>Below Target</v>
      </c>
      <c r="N209" s="10">
        <f t="shared" si="2"/>
        <v>0.5277078086</v>
      </c>
      <c r="O209" s="11">
        <f t="shared" si="3"/>
        <v>0.1</v>
      </c>
      <c r="P209" s="12">
        <f t="shared" si="4"/>
        <v>15120.9</v>
      </c>
    </row>
    <row r="210" ht="12.75" customHeight="1">
      <c r="A210" s="3" t="s">
        <v>475</v>
      </c>
      <c r="B210" s="3" t="s">
        <v>429</v>
      </c>
      <c r="C210" s="3" t="s">
        <v>45</v>
      </c>
      <c r="D210" s="3" t="s">
        <v>22</v>
      </c>
      <c r="E210" s="3" t="s">
        <v>58</v>
      </c>
      <c r="F210" s="3" t="s">
        <v>52</v>
      </c>
      <c r="G210" s="3" t="s">
        <v>13</v>
      </c>
      <c r="H210" s="3">
        <v>16441.0</v>
      </c>
      <c r="I210" s="3" t="s">
        <v>42</v>
      </c>
      <c r="K210" s="3">
        <v>17000.0</v>
      </c>
      <c r="L210" s="15" t="s">
        <v>109</v>
      </c>
      <c r="M210" s="3" t="str">
        <f t="shared" si="1"/>
        <v>Below Target</v>
      </c>
      <c r="N210" s="10">
        <f t="shared" si="2"/>
        <v>0.5283732661</v>
      </c>
      <c r="O210" s="11" t="str">
        <f t="shared" si="3"/>
        <v/>
      </c>
      <c r="P210" s="12">
        <f t="shared" si="4"/>
        <v>13974.85</v>
      </c>
    </row>
    <row r="211" ht="12.75" customHeight="1">
      <c r="A211" s="3" t="s">
        <v>476</v>
      </c>
      <c r="B211" s="3" t="s">
        <v>60</v>
      </c>
      <c r="C211" s="3" t="s">
        <v>76</v>
      </c>
      <c r="D211" s="3" t="s">
        <v>24</v>
      </c>
      <c r="E211" s="3" t="s">
        <v>46</v>
      </c>
      <c r="F211" s="3" t="s">
        <v>41</v>
      </c>
      <c r="G211" s="3" t="s">
        <v>11</v>
      </c>
      <c r="H211" s="3">
        <v>10406.0</v>
      </c>
      <c r="I211" s="3" t="s">
        <v>47</v>
      </c>
      <c r="J211" s="3">
        <v>0.3</v>
      </c>
      <c r="K211" s="3">
        <v>9000.0</v>
      </c>
      <c r="L211" s="15" t="s">
        <v>109</v>
      </c>
      <c r="M211" s="3" t="str">
        <f t="shared" si="1"/>
        <v>Target Achieved</v>
      </c>
      <c r="N211" s="10">
        <f t="shared" si="2"/>
        <v>0.529040404</v>
      </c>
      <c r="O211" s="11">
        <f t="shared" si="3"/>
        <v>0.3</v>
      </c>
      <c r="P211" s="12">
        <f t="shared" si="4"/>
        <v>7284.2</v>
      </c>
    </row>
    <row r="212" ht="12.75" customHeight="1">
      <c r="A212" s="3" t="s">
        <v>477</v>
      </c>
      <c r="B212" s="3" t="s">
        <v>257</v>
      </c>
      <c r="C212" s="3" t="s">
        <v>18</v>
      </c>
      <c r="D212" s="3" t="s">
        <v>16</v>
      </c>
      <c r="E212" s="3" t="s">
        <v>20</v>
      </c>
      <c r="F212" s="3" t="s">
        <v>52</v>
      </c>
      <c r="G212" s="3" t="s">
        <v>12</v>
      </c>
      <c r="H212" s="3">
        <v>13574.0</v>
      </c>
      <c r="K212" s="3">
        <v>14000.0</v>
      </c>
      <c r="L212" s="15" t="s">
        <v>275</v>
      </c>
      <c r="M212" s="3" t="str">
        <f t="shared" si="1"/>
        <v>Below Target</v>
      </c>
      <c r="N212" s="10">
        <f t="shared" si="2"/>
        <v>0.5284450063</v>
      </c>
      <c r="O212" s="11">
        <f t="shared" si="3"/>
        <v>0</v>
      </c>
      <c r="P212" s="12">
        <f t="shared" si="4"/>
        <v>13574</v>
      </c>
    </row>
    <row r="213" ht="12.75" customHeight="1">
      <c r="A213" s="3" t="s">
        <v>478</v>
      </c>
      <c r="B213" s="3" t="s">
        <v>108</v>
      </c>
      <c r="C213" s="3" t="s">
        <v>18</v>
      </c>
      <c r="D213" s="3" t="s">
        <v>16</v>
      </c>
      <c r="E213" s="3" t="s">
        <v>58</v>
      </c>
      <c r="F213" s="3" t="s">
        <v>52</v>
      </c>
      <c r="G213" s="3" t="s">
        <v>12</v>
      </c>
      <c r="H213" s="3">
        <v>12771.0</v>
      </c>
      <c r="I213" s="3" t="s">
        <v>47</v>
      </c>
      <c r="J213" s="3">
        <v>0.3</v>
      </c>
      <c r="K213" s="3">
        <v>14000.0</v>
      </c>
      <c r="L213" s="15" t="s">
        <v>130</v>
      </c>
      <c r="M213" s="3" t="str">
        <f t="shared" si="1"/>
        <v>Below Target</v>
      </c>
      <c r="N213" s="10">
        <f t="shared" si="2"/>
        <v>0.5291139241</v>
      </c>
      <c r="O213" s="11">
        <f t="shared" si="3"/>
        <v>0.3</v>
      </c>
      <c r="P213" s="12">
        <f t="shared" si="4"/>
        <v>8939.7</v>
      </c>
    </row>
    <row r="214" ht="12.75" customHeight="1">
      <c r="A214" s="3" t="s">
        <v>479</v>
      </c>
      <c r="B214" s="3" t="s">
        <v>427</v>
      </c>
      <c r="C214" s="3" t="s">
        <v>57</v>
      </c>
      <c r="D214" s="3" t="s">
        <v>19</v>
      </c>
      <c r="E214" s="3" t="s">
        <v>46</v>
      </c>
      <c r="F214" s="3" t="s">
        <v>21</v>
      </c>
      <c r="G214" s="3" t="s">
        <v>13</v>
      </c>
      <c r="H214" s="3">
        <v>14321.0</v>
      </c>
      <c r="I214" s="3" t="s">
        <v>47</v>
      </c>
      <c r="J214" s="3">
        <v>0.3</v>
      </c>
      <c r="K214" s="3">
        <v>13000.0</v>
      </c>
      <c r="L214" s="3" t="s">
        <v>83</v>
      </c>
      <c r="M214" s="3" t="str">
        <f t="shared" si="1"/>
        <v>Target Achieved</v>
      </c>
      <c r="N214" s="10">
        <f t="shared" si="2"/>
        <v>0.5297845374</v>
      </c>
      <c r="O214" s="11">
        <f t="shared" si="3"/>
        <v>0.3</v>
      </c>
      <c r="P214" s="12">
        <f t="shared" si="4"/>
        <v>10024.7</v>
      </c>
    </row>
    <row r="215" ht="12.75" customHeight="1">
      <c r="A215" s="3" t="s">
        <v>480</v>
      </c>
      <c r="B215" s="3" t="s">
        <v>300</v>
      </c>
      <c r="C215" s="3" t="s">
        <v>57</v>
      </c>
      <c r="D215" s="3" t="s">
        <v>19</v>
      </c>
      <c r="E215" s="3" t="s">
        <v>46</v>
      </c>
      <c r="F215" s="3" t="s">
        <v>41</v>
      </c>
      <c r="G215" s="3" t="s">
        <v>12</v>
      </c>
      <c r="H215" s="3">
        <v>12793.0</v>
      </c>
      <c r="K215" s="3">
        <v>13000.0</v>
      </c>
      <c r="L215" s="15" t="s">
        <v>344</v>
      </c>
      <c r="M215" s="3" t="str">
        <f t="shared" si="1"/>
        <v>Below Target</v>
      </c>
      <c r="N215" s="10">
        <f t="shared" si="2"/>
        <v>0.5291878173</v>
      </c>
      <c r="O215" s="11">
        <f t="shared" si="3"/>
        <v>0</v>
      </c>
      <c r="P215" s="12">
        <f t="shared" si="4"/>
        <v>12793</v>
      </c>
    </row>
    <row r="216" ht="12.75" customHeight="1">
      <c r="A216" s="3" t="s">
        <v>481</v>
      </c>
      <c r="B216" s="3" t="s">
        <v>482</v>
      </c>
      <c r="C216" s="3" t="s">
        <v>57</v>
      </c>
      <c r="D216" s="3" t="s">
        <v>19</v>
      </c>
      <c r="E216" s="3" t="s">
        <v>58</v>
      </c>
      <c r="F216" s="3" t="s">
        <v>21</v>
      </c>
      <c r="G216" s="3" t="s">
        <v>11</v>
      </c>
      <c r="H216" s="3">
        <v>12586.0</v>
      </c>
      <c r="K216" s="3">
        <v>13000.0</v>
      </c>
      <c r="L216" s="3" t="s">
        <v>324</v>
      </c>
      <c r="M216" s="3" t="str">
        <f t="shared" si="1"/>
        <v>Below Target</v>
      </c>
      <c r="N216" s="10">
        <f t="shared" si="2"/>
        <v>0.5298602287</v>
      </c>
      <c r="O216" s="11">
        <f t="shared" si="3"/>
        <v>0</v>
      </c>
      <c r="P216" s="12">
        <f t="shared" si="4"/>
        <v>12586</v>
      </c>
    </row>
    <row r="217" ht="12.75" customHeight="1">
      <c r="A217" s="3" t="s">
        <v>483</v>
      </c>
      <c r="B217" s="3" t="s">
        <v>192</v>
      </c>
      <c r="C217" s="3" t="s">
        <v>18</v>
      </c>
      <c r="D217" s="3" t="s">
        <v>16</v>
      </c>
      <c r="E217" s="3" t="s">
        <v>20</v>
      </c>
      <c r="F217" s="3" t="s">
        <v>52</v>
      </c>
      <c r="G217" s="3" t="s">
        <v>11</v>
      </c>
      <c r="H217" s="3">
        <v>12269.0</v>
      </c>
      <c r="I217" s="3" t="s">
        <v>47</v>
      </c>
      <c r="J217" s="3">
        <v>0.3</v>
      </c>
      <c r="K217" s="3">
        <v>14000.0</v>
      </c>
      <c r="L217" s="15" t="s">
        <v>234</v>
      </c>
      <c r="M217" s="3" t="str">
        <f t="shared" si="1"/>
        <v>Below Target</v>
      </c>
      <c r="N217" s="10">
        <f t="shared" si="2"/>
        <v>0.5305343511</v>
      </c>
      <c r="O217" s="11">
        <f t="shared" si="3"/>
        <v>0.3</v>
      </c>
      <c r="P217" s="12">
        <f t="shared" si="4"/>
        <v>8588.3</v>
      </c>
    </row>
    <row r="218" ht="12.75" customHeight="1">
      <c r="A218" s="3" t="s">
        <v>484</v>
      </c>
      <c r="B218" s="3" t="s">
        <v>255</v>
      </c>
      <c r="C218" s="3" t="s">
        <v>76</v>
      </c>
      <c r="D218" s="3" t="s">
        <v>24</v>
      </c>
      <c r="E218" s="3" t="s">
        <v>58</v>
      </c>
      <c r="F218" s="3" t="s">
        <v>21</v>
      </c>
      <c r="G218" s="3" t="s">
        <v>12</v>
      </c>
      <c r="H218" s="3">
        <v>10488.0</v>
      </c>
      <c r="I218" s="3" t="s">
        <v>42</v>
      </c>
      <c r="K218" s="3">
        <v>9000.0</v>
      </c>
      <c r="L218" s="3" t="s">
        <v>139</v>
      </c>
      <c r="M218" s="3" t="str">
        <f t="shared" si="1"/>
        <v>Target Achieved</v>
      </c>
      <c r="N218" s="10">
        <f t="shared" si="2"/>
        <v>0.5312101911</v>
      </c>
      <c r="O218" s="11" t="str">
        <f t="shared" si="3"/>
        <v/>
      </c>
      <c r="P218" s="12">
        <f t="shared" si="4"/>
        <v>8914.8</v>
      </c>
    </row>
    <row r="219" ht="12.75" customHeight="1">
      <c r="A219" s="3" t="s">
        <v>485</v>
      </c>
      <c r="B219" s="3" t="s">
        <v>98</v>
      </c>
      <c r="C219" s="3" t="s">
        <v>18</v>
      </c>
      <c r="D219" s="3" t="s">
        <v>16</v>
      </c>
      <c r="E219" s="3" t="s">
        <v>20</v>
      </c>
      <c r="F219" s="3" t="s">
        <v>52</v>
      </c>
      <c r="G219" s="3" t="s">
        <v>13</v>
      </c>
      <c r="H219" s="3">
        <v>15754.0</v>
      </c>
      <c r="I219" s="3" t="s">
        <v>47</v>
      </c>
      <c r="J219" s="3">
        <v>0.3</v>
      </c>
      <c r="K219" s="3">
        <v>14000.0</v>
      </c>
      <c r="L219" s="3" t="s">
        <v>327</v>
      </c>
      <c r="M219" s="3" t="str">
        <f t="shared" si="1"/>
        <v>Target Achieved</v>
      </c>
      <c r="N219" s="10">
        <f t="shared" si="2"/>
        <v>0.5306122449</v>
      </c>
      <c r="O219" s="11">
        <f t="shared" si="3"/>
        <v>0.3</v>
      </c>
      <c r="P219" s="12">
        <f t="shared" si="4"/>
        <v>11027.8</v>
      </c>
    </row>
    <row r="220" ht="12.75" customHeight="1">
      <c r="A220" s="3" t="s">
        <v>486</v>
      </c>
      <c r="B220" s="3" t="s">
        <v>400</v>
      </c>
      <c r="C220" s="3" t="s">
        <v>76</v>
      </c>
      <c r="D220" s="3" t="s">
        <v>24</v>
      </c>
      <c r="E220" s="3" t="s">
        <v>46</v>
      </c>
      <c r="F220" s="3" t="s">
        <v>52</v>
      </c>
      <c r="G220" s="3" t="s">
        <v>12</v>
      </c>
      <c r="H220" s="3">
        <v>10842.0</v>
      </c>
      <c r="I220" s="3" t="s">
        <v>37</v>
      </c>
      <c r="J220" s="3">
        <v>0.1</v>
      </c>
      <c r="K220" s="3">
        <v>9000.0</v>
      </c>
      <c r="L220" s="3" t="s">
        <v>327</v>
      </c>
      <c r="M220" s="3" t="str">
        <f t="shared" si="1"/>
        <v>Target Achieved</v>
      </c>
      <c r="N220" s="10">
        <f t="shared" si="2"/>
        <v>0.5300127714</v>
      </c>
      <c r="O220" s="11">
        <f t="shared" si="3"/>
        <v>0.1</v>
      </c>
      <c r="P220" s="12">
        <f t="shared" si="4"/>
        <v>9757.8</v>
      </c>
    </row>
    <row r="221" ht="12.75" customHeight="1">
      <c r="A221" s="3" t="s">
        <v>487</v>
      </c>
      <c r="B221" s="3" t="s">
        <v>488</v>
      </c>
      <c r="C221" s="3" t="s">
        <v>45</v>
      </c>
      <c r="D221" s="3" t="s">
        <v>22</v>
      </c>
      <c r="E221" s="3" t="s">
        <v>46</v>
      </c>
      <c r="F221" s="3" t="s">
        <v>52</v>
      </c>
      <c r="G221" s="3" t="s">
        <v>12</v>
      </c>
      <c r="H221" s="3">
        <v>18395.0</v>
      </c>
      <c r="I221" s="3" t="s">
        <v>42</v>
      </c>
      <c r="K221" s="3">
        <v>17000.0</v>
      </c>
      <c r="L221" s="15" t="s">
        <v>123</v>
      </c>
      <c r="M221" s="3" t="str">
        <f t="shared" si="1"/>
        <v>Target Achieved</v>
      </c>
      <c r="N221" s="10">
        <f t="shared" si="2"/>
        <v>0.5294117647</v>
      </c>
      <c r="O221" s="11" t="str">
        <f t="shared" si="3"/>
        <v/>
      </c>
      <c r="P221" s="12">
        <f t="shared" si="4"/>
        <v>15635.75</v>
      </c>
    </row>
    <row r="222" ht="12.75" customHeight="1">
      <c r="A222" s="3" t="s">
        <v>489</v>
      </c>
      <c r="B222" s="3" t="s">
        <v>122</v>
      </c>
      <c r="C222" s="3" t="s">
        <v>76</v>
      </c>
      <c r="D222" s="3" t="s">
        <v>24</v>
      </c>
      <c r="E222" s="3" t="s">
        <v>20</v>
      </c>
      <c r="F222" s="3" t="s">
        <v>21</v>
      </c>
      <c r="G222" s="3" t="s">
        <v>13</v>
      </c>
      <c r="H222" s="3">
        <v>8485.0</v>
      </c>
      <c r="I222" s="3" t="s">
        <v>47</v>
      </c>
      <c r="J222" s="3">
        <v>0.3</v>
      </c>
      <c r="K222" s="3">
        <v>9000.0</v>
      </c>
      <c r="L222" s="15" t="s">
        <v>316</v>
      </c>
      <c r="M222" s="3" t="str">
        <f t="shared" si="1"/>
        <v>Below Target</v>
      </c>
      <c r="N222" s="10">
        <f t="shared" si="2"/>
        <v>0.528809219</v>
      </c>
      <c r="O222" s="11">
        <f t="shared" si="3"/>
        <v>0.3</v>
      </c>
      <c r="P222" s="12">
        <f t="shared" si="4"/>
        <v>5939.5</v>
      </c>
    </row>
    <row r="223" ht="12.75" customHeight="1">
      <c r="A223" s="3" t="s">
        <v>490</v>
      </c>
      <c r="B223" s="3" t="s">
        <v>491</v>
      </c>
      <c r="C223" s="3" t="s">
        <v>76</v>
      </c>
      <c r="D223" s="3" t="s">
        <v>24</v>
      </c>
      <c r="E223" s="3" t="s">
        <v>46</v>
      </c>
      <c r="F223" s="3" t="s">
        <v>41</v>
      </c>
      <c r="G223" s="3" t="s">
        <v>13</v>
      </c>
      <c r="H223" s="3">
        <v>7634.0</v>
      </c>
      <c r="I223" s="3" t="s">
        <v>37</v>
      </c>
      <c r="J223" s="3">
        <v>0.1</v>
      </c>
      <c r="K223" s="3">
        <v>9000.0</v>
      </c>
      <c r="L223" s="3" t="s">
        <v>268</v>
      </c>
      <c r="M223" s="3" t="str">
        <f t="shared" si="1"/>
        <v>Below Target</v>
      </c>
      <c r="N223" s="10">
        <f t="shared" si="2"/>
        <v>0.5294871795</v>
      </c>
      <c r="O223" s="11">
        <f t="shared" si="3"/>
        <v>0.1</v>
      </c>
      <c r="P223" s="12">
        <f t="shared" si="4"/>
        <v>6870.6</v>
      </c>
    </row>
    <row r="224" ht="12.75" customHeight="1">
      <c r="A224" s="3" t="s">
        <v>492</v>
      </c>
      <c r="B224" s="3" t="s">
        <v>493</v>
      </c>
      <c r="C224" s="3" t="s">
        <v>18</v>
      </c>
      <c r="D224" s="3" t="s">
        <v>16</v>
      </c>
      <c r="E224" s="3" t="s">
        <v>20</v>
      </c>
      <c r="F224" s="3" t="s">
        <v>52</v>
      </c>
      <c r="G224" s="3" t="s">
        <v>12</v>
      </c>
      <c r="H224" s="3">
        <v>15619.0</v>
      </c>
      <c r="I224" s="3" t="s">
        <v>42</v>
      </c>
      <c r="K224" s="3">
        <v>14000.0</v>
      </c>
      <c r="L224" s="15" t="s">
        <v>341</v>
      </c>
      <c r="M224" s="3" t="str">
        <f t="shared" si="1"/>
        <v>Target Achieved</v>
      </c>
      <c r="N224" s="10">
        <f t="shared" si="2"/>
        <v>0.5301668806</v>
      </c>
      <c r="O224" s="11" t="str">
        <f t="shared" si="3"/>
        <v/>
      </c>
      <c r="P224" s="12">
        <f t="shared" si="4"/>
        <v>13276.15</v>
      </c>
    </row>
    <row r="225" ht="12.75" customHeight="1">
      <c r="A225" s="3" t="s">
        <v>494</v>
      </c>
      <c r="B225" s="3" t="s">
        <v>413</v>
      </c>
      <c r="C225" s="3" t="s">
        <v>57</v>
      </c>
      <c r="D225" s="3" t="s">
        <v>19</v>
      </c>
      <c r="E225" s="3" t="s">
        <v>20</v>
      </c>
      <c r="F225" s="3" t="s">
        <v>21</v>
      </c>
      <c r="G225" s="3" t="s">
        <v>13</v>
      </c>
      <c r="H225" s="3">
        <v>11664.0</v>
      </c>
      <c r="I225" s="3" t="s">
        <v>23</v>
      </c>
      <c r="J225" s="3">
        <v>0.2</v>
      </c>
      <c r="K225" s="3">
        <v>13000.0</v>
      </c>
      <c r="L225" s="3" t="s">
        <v>106</v>
      </c>
      <c r="M225" s="3" t="str">
        <f t="shared" si="1"/>
        <v>Below Target</v>
      </c>
      <c r="N225" s="10">
        <f t="shared" si="2"/>
        <v>0.529562982</v>
      </c>
      <c r="O225" s="11">
        <f t="shared" si="3"/>
        <v>0.2</v>
      </c>
      <c r="P225" s="12">
        <f t="shared" si="4"/>
        <v>9331.2</v>
      </c>
    </row>
    <row r="226" ht="12.75" customHeight="1">
      <c r="A226" s="3" t="s">
        <v>495</v>
      </c>
      <c r="B226" s="3" t="s">
        <v>368</v>
      </c>
      <c r="C226" s="3" t="s">
        <v>57</v>
      </c>
      <c r="D226" s="3" t="s">
        <v>19</v>
      </c>
      <c r="E226" s="3" t="s">
        <v>20</v>
      </c>
      <c r="F226" s="3" t="s">
        <v>21</v>
      </c>
      <c r="G226" s="3" t="s">
        <v>13</v>
      </c>
      <c r="H226" s="3">
        <v>12682.0</v>
      </c>
      <c r="I226" s="3" t="s">
        <v>47</v>
      </c>
      <c r="J226" s="3">
        <v>0.3</v>
      </c>
      <c r="K226" s="3">
        <v>13000.0</v>
      </c>
      <c r="L226" s="3" t="s">
        <v>238</v>
      </c>
      <c r="M226" s="3" t="str">
        <f t="shared" si="1"/>
        <v>Below Target</v>
      </c>
      <c r="N226" s="10">
        <f t="shared" si="2"/>
        <v>0.5302445302</v>
      </c>
      <c r="O226" s="11">
        <f t="shared" si="3"/>
        <v>0.3</v>
      </c>
      <c r="P226" s="12">
        <f t="shared" si="4"/>
        <v>8877.4</v>
      </c>
    </row>
    <row r="227" ht="12.75" customHeight="1">
      <c r="A227" s="3" t="s">
        <v>496</v>
      </c>
      <c r="B227" s="3" t="s">
        <v>497</v>
      </c>
      <c r="C227" s="3" t="s">
        <v>76</v>
      </c>
      <c r="D227" s="3" t="s">
        <v>24</v>
      </c>
      <c r="E227" s="3" t="s">
        <v>20</v>
      </c>
      <c r="F227" s="3" t="s">
        <v>21</v>
      </c>
      <c r="G227" s="3" t="s">
        <v>12</v>
      </c>
      <c r="H227" s="3">
        <v>10210.0</v>
      </c>
      <c r="K227" s="3">
        <v>9000.0</v>
      </c>
      <c r="L227" s="3" t="s">
        <v>221</v>
      </c>
      <c r="M227" s="3" t="str">
        <f t="shared" si="1"/>
        <v>Target Achieved</v>
      </c>
      <c r="N227" s="10">
        <f t="shared" si="2"/>
        <v>0.5309278351</v>
      </c>
      <c r="O227" s="11">
        <f t="shared" si="3"/>
        <v>0</v>
      </c>
      <c r="P227" s="12">
        <f t="shared" si="4"/>
        <v>10210</v>
      </c>
    </row>
    <row r="228" ht="12.75" customHeight="1">
      <c r="A228" s="3" t="s">
        <v>498</v>
      </c>
      <c r="B228" s="3" t="s">
        <v>443</v>
      </c>
      <c r="C228" s="3" t="s">
        <v>45</v>
      </c>
      <c r="D228" s="3" t="s">
        <v>22</v>
      </c>
      <c r="E228" s="3" t="s">
        <v>58</v>
      </c>
      <c r="F228" s="3" t="s">
        <v>41</v>
      </c>
      <c r="G228" s="3" t="s">
        <v>11</v>
      </c>
      <c r="H228" s="3">
        <v>17778.0</v>
      </c>
      <c r="I228" s="3" t="s">
        <v>42</v>
      </c>
      <c r="K228" s="3">
        <v>17000.0</v>
      </c>
      <c r="L228" s="3" t="s">
        <v>203</v>
      </c>
      <c r="M228" s="3" t="str">
        <f t="shared" si="1"/>
        <v>Target Achieved</v>
      </c>
      <c r="N228" s="10">
        <f t="shared" si="2"/>
        <v>0.5303225806</v>
      </c>
      <c r="O228" s="11" t="str">
        <f t="shared" si="3"/>
        <v/>
      </c>
      <c r="P228" s="12">
        <f t="shared" si="4"/>
        <v>15111.3</v>
      </c>
    </row>
    <row r="229" ht="12.75" customHeight="1">
      <c r="A229" s="3" t="s">
        <v>499</v>
      </c>
      <c r="B229" s="3" t="s">
        <v>200</v>
      </c>
      <c r="C229" s="3" t="s">
        <v>45</v>
      </c>
      <c r="D229" s="3" t="s">
        <v>22</v>
      </c>
      <c r="E229" s="3" t="s">
        <v>58</v>
      </c>
      <c r="F229" s="3" t="s">
        <v>52</v>
      </c>
      <c r="G229" s="3" t="s">
        <v>12</v>
      </c>
      <c r="H229" s="3">
        <v>16714.0</v>
      </c>
      <c r="I229" s="3" t="s">
        <v>23</v>
      </c>
      <c r="J229" s="3">
        <v>0.2</v>
      </c>
      <c r="K229" s="3">
        <v>17000.0</v>
      </c>
      <c r="L229" s="3" t="s">
        <v>333</v>
      </c>
      <c r="M229" s="3" t="str">
        <f t="shared" si="1"/>
        <v>Below Target</v>
      </c>
      <c r="N229" s="10">
        <f t="shared" si="2"/>
        <v>0.5297157623</v>
      </c>
      <c r="O229" s="11">
        <f t="shared" si="3"/>
        <v>0.2</v>
      </c>
      <c r="P229" s="12">
        <f t="shared" si="4"/>
        <v>13371.2</v>
      </c>
    </row>
    <row r="230" ht="12.75" customHeight="1">
      <c r="A230" s="3" t="s">
        <v>500</v>
      </c>
      <c r="B230" s="3" t="s">
        <v>501</v>
      </c>
      <c r="C230" s="3" t="s">
        <v>57</v>
      </c>
      <c r="D230" s="3" t="s">
        <v>19</v>
      </c>
      <c r="E230" s="3" t="s">
        <v>58</v>
      </c>
      <c r="F230" s="3" t="s">
        <v>41</v>
      </c>
      <c r="G230" s="3" t="s">
        <v>12</v>
      </c>
      <c r="H230" s="3">
        <v>12968.0</v>
      </c>
      <c r="I230" s="3" t="s">
        <v>47</v>
      </c>
      <c r="J230" s="3">
        <v>0.3</v>
      </c>
      <c r="K230" s="3">
        <v>13000.0</v>
      </c>
      <c r="L230" s="15" t="s">
        <v>349</v>
      </c>
      <c r="M230" s="3" t="str">
        <f t="shared" si="1"/>
        <v>Below Target</v>
      </c>
      <c r="N230" s="10">
        <f t="shared" si="2"/>
        <v>0.5304010349</v>
      </c>
      <c r="O230" s="11">
        <f t="shared" si="3"/>
        <v>0.3</v>
      </c>
      <c r="P230" s="12">
        <f t="shared" si="4"/>
        <v>9077.6</v>
      </c>
    </row>
    <row r="231" ht="12.75" customHeight="1">
      <c r="A231" s="3" t="s">
        <v>502</v>
      </c>
      <c r="B231" s="3" t="s">
        <v>503</v>
      </c>
      <c r="C231" s="3" t="s">
        <v>18</v>
      </c>
      <c r="D231" s="3" t="s">
        <v>16</v>
      </c>
      <c r="E231" s="3" t="s">
        <v>58</v>
      </c>
      <c r="F231" s="3" t="s">
        <v>41</v>
      </c>
      <c r="G231" s="3" t="s">
        <v>13</v>
      </c>
      <c r="H231" s="3">
        <v>13117.0</v>
      </c>
      <c r="K231" s="3">
        <v>14000.0</v>
      </c>
      <c r="L231" s="3" t="s">
        <v>338</v>
      </c>
      <c r="M231" s="3" t="str">
        <f t="shared" si="1"/>
        <v>Below Target</v>
      </c>
      <c r="N231" s="10">
        <f t="shared" si="2"/>
        <v>0.5310880829</v>
      </c>
      <c r="O231" s="11">
        <f t="shared" si="3"/>
        <v>0</v>
      </c>
      <c r="P231" s="12">
        <f t="shared" si="4"/>
        <v>13117</v>
      </c>
    </row>
    <row r="232" ht="12.75" customHeight="1">
      <c r="A232" s="3" t="s">
        <v>504</v>
      </c>
      <c r="B232" s="3" t="s">
        <v>105</v>
      </c>
      <c r="C232" s="3" t="s">
        <v>76</v>
      </c>
      <c r="D232" s="3" t="s">
        <v>24</v>
      </c>
      <c r="E232" s="3" t="s">
        <v>46</v>
      </c>
      <c r="F232" s="3" t="s">
        <v>41</v>
      </c>
      <c r="G232" s="3" t="s">
        <v>11</v>
      </c>
      <c r="H232" s="3">
        <v>10623.0</v>
      </c>
      <c r="I232" s="3" t="s">
        <v>47</v>
      </c>
      <c r="J232" s="3">
        <v>0.3</v>
      </c>
      <c r="K232" s="3">
        <v>9000.0</v>
      </c>
      <c r="L232" s="3" t="s">
        <v>80</v>
      </c>
      <c r="M232" s="3" t="str">
        <f t="shared" si="1"/>
        <v>Target Achieved</v>
      </c>
      <c r="N232" s="10">
        <f t="shared" si="2"/>
        <v>0.5317769131</v>
      </c>
      <c r="O232" s="11">
        <f t="shared" si="3"/>
        <v>0.3</v>
      </c>
      <c r="P232" s="12">
        <f t="shared" si="4"/>
        <v>7436.1</v>
      </c>
    </row>
    <row r="233" ht="12.75" customHeight="1">
      <c r="A233" s="3" t="s">
        <v>505</v>
      </c>
      <c r="B233" s="3" t="s">
        <v>506</v>
      </c>
      <c r="C233" s="3" t="s">
        <v>18</v>
      </c>
      <c r="D233" s="3" t="s">
        <v>16</v>
      </c>
      <c r="E233" s="3" t="s">
        <v>58</v>
      </c>
      <c r="F233" s="3" t="s">
        <v>52</v>
      </c>
      <c r="G233" s="3" t="s">
        <v>11</v>
      </c>
      <c r="H233" s="3">
        <v>12965.0</v>
      </c>
      <c r="K233" s="3">
        <v>14000.0</v>
      </c>
      <c r="L233" s="15" t="s">
        <v>123</v>
      </c>
      <c r="M233" s="3" t="str">
        <f t="shared" si="1"/>
        <v>Below Target</v>
      </c>
      <c r="N233" s="10">
        <f t="shared" si="2"/>
        <v>0.5311688312</v>
      </c>
      <c r="O233" s="11">
        <f t="shared" si="3"/>
        <v>0</v>
      </c>
      <c r="P233" s="12">
        <f t="shared" si="4"/>
        <v>12965</v>
      </c>
    </row>
    <row r="234" ht="12.75" customHeight="1">
      <c r="A234" s="3" t="s">
        <v>507</v>
      </c>
      <c r="B234" s="3" t="s">
        <v>508</v>
      </c>
      <c r="C234" s="3" t="s">
        <v>18</v>
      </c>
      <c r="D234" s="3" t="s">
        <v>16</v>
      </c>
      <c r="E234" s="3" t="s">
        <v>58</v>
      </c>
      <c r="F234" s="3" t="s">
        <v>41</v>
      </c>
      <c r="G234" s="3" t="s">
        <v>12</v>
      </c>
      <c r="H234" s="3">
        <v>14662.0</v>
      </c>
      <c r="I234" s="3" t="s">
        <v>47</v>
      </c>
      <c r="J234" s="3">
        <v>0.3</v>
      </c>
      <c r="K234" s="3">
        <v>14000.0</v>
      </c>
      <c r="L234" s="3" t="s">
        <v>328</v>
      </c>
      <c r="M234" s="3" t="str">
        <f t="shared" si="1"/>
        <v>Target Achieved</v>
      </c>
      <c r="N234" s="10">
        <f t="shared" si="2"/>
        <v>0.5318595579</v>
      </c>
      <c r="O234" s="11">
        <f t="shared" si="3"/>
        <v>0.3</v>
      </c>
      <c r="P234" s="12">
        <f t="shared" si="4"/>
        <v>10263.4</v>
      </c>
    </row>
    <row r="235" ht="12.75" customHeight="1">
      <c r="A235" s="3" t="s">
        <v>509</v>
      </c>
      <c r="B235" s="3" t="s">
        <v>223</v>
      </c>
      <c r="C235" s="3" t="s">
        <v>18</v>
      </c>
      <c r="D235" s="3" t="s">
        <v>16</v>
      </c>
      <c r="E235" s="3" t="s">
        <v>58</v>
      </c>
      <c r="F235" s="3" t="s">
        <v>21</v>
      </c>
      <c r="G235" s="3" t="s">
        <v>12</v>
      </c>
      <c r="H235" s="3">
        <v>15404.0</v>
      </c>
      <c r="I235" s="3" t="s">
        <v>23</v>
      </c>
      <c r="J235" s="3">
        <v>0.2</v>
      </c>
      <c r="K235" s="3">
        <v>14000.0</v>
      </c>
      <c r="L235" s="3" t="s">
        <v>323</v>
      </c>
      <c r="M235" s="3" t="str">
        <f t="shared" si="1"/>
        <v>Target Achieved</v>
      </c>
      <c r="N235" s="10">
        <f t="shared" si="2"/>
        <v>0.53125</v>
      </c>
      <c r="O235" s="11">
        <f t="shared" si="3"/>
        <v>0.2</v>
      </c>
      <c r="P235" s="12">
        <f t="shared" si="4"/>
        <v>12323.2</v>
      </c>
    </row>
    <row r="236" ht="12.75" customHeight="1">
      <c r="A236" s="3" t="s">
        <v>510</v>
      </c>
      <c r="B236" s="3" t="s">
        <v>431</v>
      </c>
      <c r="C236" s="3" t="s">
        <v>76</v>
      </c>
      <c r="D236" s="3" t="s">
        <v>24</v>
      </c>
      <c r="E236" s="3" t="s">
        <v>20</v>
      </c>
      <c r="F236" s="3" t="s">
        <v>41</v>
      </c>
      <c r="G236" s="3" t="s">
        <v>13</v>
      </c>
      <c r="H236" s="3">
        <v>7077.0</v>
      </c>
      <c r="I236" s="3" t="s">
        <v>47</v>
      </c>
      <c r="J236" s="3">
        <v>0.3</v>
      </c>
      <c r="K236" s="3">
        <v>9000.0</v>
      </c>
      <c r="L236" s="3" t="s">
        <v>65</v>
      </c>
      <c r="M236" s="3" t="str">
        <f t="shared" si="1"/>
        <v>Below Target</v>
      </c>
      <c r="N236" s="10">
        <f t="shared" si="2"/>
        <v>0.5306388527</v>
      </c>
      <c r="O236" s="11">
        <f t="shared" si="3"/>
        <v>0.3</v>
      </c>
      <c r="P236" s="12">
        <f t="shared" si="4"/>
        <v>4953.9</v>
      </c>
    </row>
    <row r="237" ht="12.75" customHeight="1">
      <c r="A237" s="3" t="s">
        <v>511</v>
      </c>
      <c r="B237" s="3" t="s">
        <v>512</v>
      </c>
      <c r="C237" s="3" t="s">
        <v>76</v>
      </c>
      <c r="D237" s="3" t="s">
        <v>24</v>
      </c>
      <c r="E237" s="3" t="s">
        <v>46</v>
      </c>
      <c r="F237" s="3" t="s">
        <v>21</v>
      </c>
      <c r="G237" s="3" t="s">
        <v>13</v>
      </c>
      <c r="H237" s="3">
        <v>8233.0</v>
      </c>
      <c r="I237" s="3" t="s">
        <v>37</v>
      </c>
      <c r="J237" s="3">
        <v>0.1</v>
      </c>
      <c r="K237" s="3">
        <v>9000.0</v>
      </c>
      <c r="L237" s="15" t="s">
        <v>347</v>
      </c>
      <c r="M237" s="3" t="str">
        <f t="shared" si="1"/>
        <v>Below Target</v>
      </c>
      <c r="N237" s="10">
        <f t="shared" si="2"/>
        <v>0.5313315927</v>
      </c>
      <c r="O237" s="11">
        <f t="shared" si="3"/>
        <v>0.1</v>
      </c>
      <c r="P237" s="12">
        <f t="shared" si="4"/>
        <v>7409.7</v>
      </c>
    </row>
    <row r="238" ht="12.75" customHeight="1">
      <c r="A238" s="3" t="s">
        <v>513</v>
      </c>
      <c r="B238" s="3" t="s">
        <v>514</v>
      </c>
      <c r="C238" s="3" t="s">
        <v>76</v>
      </c>
      <c r="D238" s="3" t="s">
        <v>24</v>
      </c>
      <c r="E238" s="3" t="s">
        <v>46</v>
      </c>
      <c r="F238" s="3" t="s">
        <v>41</v>
      </c>
      <c r="G238" s="3" t="s">
        <v>11</v>
      </c>
      <c r="H238" s="3">
        <v>9444.0</v>
      </c>
      <c r="I238" s="3" t="s">
        <v>42</v>
      </c>
      <c r="K238" s="3">
        <v>9000.0</v>
      </c>
      <c r="L238" s="15" t="s">
        <v>211</v>
      </c>
      <c r="M238" s="3" t="str">
        <f t="shared" si="1"/>
        <v>Target Achieved</v>
      </c>
      <c r="N238" s="10">
        <f t="shared" si="2"/>
        <v>0.5320261438</v>
      </c>
      <c r="O238" s="11" t="str">
        <f t="shared" si="3"/>
        <v/>
      </c>
      <c r="P238" s="12">
        <f t="shared" si="4"/>
        <v>8027.4</v>
      </c>
    </row>
    <row r="239" ht="12.75" customHeight="1">
      <c r="A239" s="3" t="s">
        <v>515</v>
      </c>
      <c r="B239" s="3" t="s">
        <v>516</v>
      </c>
      <c r="C239" s="3" t="s">
        <v>57</v>
      </c>
      <c r="D239" s="3" t="s">
        <v>19</v>
      </c>
      <c r="E239" s="3" t="s">
        <v>20</v>
      </c>
      <c r="F239" s="3" t="s">
        <v>41</v>
      </c>
      <c r="G239" s="3" t="s">
        <v>11</v>
      </c>
      <c r="H239" s="3">
        <v>12758.0</v>
      </c>
      <c r="I239" s="3" t="s">
        <v>37</v>
      </c>
      <c r="J239" s="3">
        <v>0.1</v>
      </c>
      <c r="K239" s="3">
        <v>13000.0</v>
      </c>
      <c r="L239" s="15" t="s">
        <v>322</v>
      </c>
      <c r="M239" s="3" t="str">
        <f t="shared" si="1"/>
        <v>Below Target</v>
      </c>
      <c r="N239" s="10">
        <f t="shared" si="2"/>
        <v>0.5314136126</v>
      </c>
      <c r="O239" s="11">
        <f t="shared" si="3"/>
        <v>0.1</v>
      </c>
      <c r="P239" s="12">
        <f t="shared" si="4"/>
        <v>11482.2</v>
      </c>
    </row>
    <row r="240" ht="12.75" customHeight="1">
      <c r="A240" s="3" t="s">
        <v>517</v>
      </c>
      <c r="B240" s="3" t="s">
        <v>508</v>
      </c>
      <c r="C240" s="3" t="s">
        <v>76</v>
      </c>
      <c r="D240" s="3" t="s">
        <v>24</v>
      </c>
      <c r="E240" s="3" t="s">
        <v>46</v>
      </c>
      <c r="F240" s="3" t="s">
        <v>52</v>
      </c>
      <c r="G240" s="3" t="s">
        <v>12</v>
      </c>
      <c r="H240" s="3">
        <v>7350.0</v>
      </c>
      <c r="I240" s="3" t="s">
        <v>42</v>
      </c>
      <c r="K240" s="3">
        <v>9000.0</v>
      </c>
      <c r="L240" s="3" t="s">
        <v>336</v>
      </c>
      <c r="M240" s="3" t="str">
        <f t="shared" si="1"/>
        <v>Below Target</v>
      </c>
      <c r="N240" s="10">
        <f t="shared" si="2"/>
        <v>0.5321100917</v>
      </c>
      <c r="O240" s="11" t="str">
        <f t="shared" si="3"/>
        <v/>
      </c>
      <c r="P240" s="12">
        <f t="shared" si="4"/>
        <v>6247.5</v>
      </c>
    </row>
    <row r="241" ht="12.75" customHeight="1">
      <c r="A241" s="3" t="s">
        <v>518</v>
      </c>
      <c r="B241" s="3" t="s">
        <v>300</v>
      </c>
      <c r="C241" s="3" t="s">
        <v>18</v>
      </c>
      <c r="D241" s="3" t="s">
        <v>16</v>
      </c>
      <c r="E241" s="3" t="s">
        <v>58</v>
      </c>
      <c r="F241" s="3" t="s">
        <v>21</v>
      </c>
      <c r="G241" s="3" t="s">
        <v>13</v>
      </c>
      <c r="H241" s="3">
        <v>14603.0</v>
      </c>
      <c r="K241" s="3">
        <v>14000.0</v>
      </c>
      <c r="L241" s="3" t="s">
        <v>336</v>
      </c>
      <c r="M241" s="3" t="str">
        <f t="shared" si="1"/>
        <v>Target Achieved</v>
      </c>
      <c r="N241" s="10">
        <f t="shared" si="2"/>
        <v>0.532808399</v>
      </c>
      <c r="O241" s="11">
        <f t="shared" si="3"/>
        <v>0</v>
      </c>
      <c r="P241" s="12">
        <f t="shared" si="4"/>
        <v>14603</v>
      </c>
    </row>
    <row r="242" ht="12.75" customHeight="1">
      <c r="A242" s="3" t="s">
        <v>519</v>
      </c>
      <c r="B242" s="3" t="s">
        <v>448</v>
      </c>
      <c r="C242" s="3" t="s">
        <v>18</v>
      </c>
      <c r="D242" s="3" t="s">
        <v>16</v>
      </c>
      <c r="E242" s="3" t="s">
        <v>58</v>
      </c>
      <c r="F242" s="3" t="s">
        <v>41</v>
      </c>
      <c r="G242" s="3" t="s">
        <v>11</v>
      </c>
      <c r="H242" s="3">
        <v>12987.0</v>
      </c>
      <c r="I242" s="3" t="s">
        <v>37</v>
      </c>
      <c r="J242" s="3">
        <v>0.1</v>
      </c>
      <c r="K242" s="3">
        <v>14000.0</v>
      </c>
      <c r="L242" s="3" t="s">
        <v>324</v>
      </c>
      <c r="M242" s="3" t="str">
        <f t="shared" si="1"/>
        <v>Below Target</v>
      </c>
      <c r="N242" s="10">
        <f t="shared" si="2"/>
        <v>0.5321944809</v>
      </c>
      <c r="O242" s="11">
        <f t="shared" si="3"/>
        <v>0.1</v>
      </c>
      <c r="P242" s="12">
        <f t="shared" si="4"/>
        <v>11688.3</v>
      </c>
    </row>
    <row r="243" ht="12.75" customHeight="1">
      <c r="A243" s="3" t="s">
        <v>520</v>
      </c>
      <c r="B243" s="3" t="s">
        <v>292</v>
      </c>
      <c r="C243" s="3" t="s">
        <v>45</v>
      </c>
      <c r="D243" s="3" t="s">
        <v>22</v>
      </c>
      <c r="E243" s="3" t="s">
        <v>46</v>
      </c>
      <c r="F243" s="3" t="s">
        <v>41</v>
      </c>
      <c r="G243" s="3" t="s">
        <v>11</v>
      </c>
      <c r="H243" s="3">
        <v>17236.0</v>
      </c>
      <c r="I243" s="3" t="s">
        <v>47</v>
      </c>
      <c r="J243" s="3">
        <v>0.3</v>
      </c>
      <c r="K243" s="3">
        <v>17000.0</v>
      </c>
      <c r="L243" s="3" t="s">
        <v>333</v>
      </c>
      <c r="M243" s="3" t="str">
        <f t="shared" si="1"/>
        <v>Target Achieved</v>
      </c>
      <c r="N243" s="10">
        <f t="shared" si="2"/>
        <v>0.5328947368</v>
      </c>
      <c r="O243" s="11">
        <f t="shared" si="3"/>
        <v>0.3</v>
      </c>
      <c r="P243" s="12">
        <f t="shared" si="4"/>
        <v>12065.2</v>
      </c>
    </row>
    <row r="244" ht="12.75" customHeight="1">
      <c r="A244" s="3" t="s">
        <v>521</v>
      </c>
      <c r="B244" s="3" t="s">
        <v>522</v>
      </c>
      <c r="C244" s="3" t="s">
        <v>76</v>
      </c>
      <c r="D244" s="3" t="s">
        <v>24</v>
      </c>
      <c r="E244" s="3" t="s">
        <v>20</v>
      </c>
      <c r="F244" s="3" t="s">
        <v>21</v>
      </c>
      <c r="G244" s="3" t="s">
        <v>12</v>
      </c>
      <c r="H244" s="3">
        <v>7746.0</v>
      </c>
      <c r="I244" s="3" t="s">
        <v>23</v>
      </c>
      <c r="J244" s="3">
        <v>0.2</v>
      </c>
      <c r="K244" s="3">
        <v>9000.0</v>
      </c>
      <c r="L244" s="15" t="s">
        <v>109</v>
      </c>
      <c r="M244" s="3" t="str">
        <f t="shared" si="1"/>
        <v>Below Target</v>
      </c>
      <c r="N244" s="10">
        <f t="shared" si="2"/>
        <v>0.5322793149</v>
      </c>
      <c r="O244" s="11">
        <f t="shared" si="3"/>
        <v>0.2</v>
      </c>
      <c r="P244" s="12">
        <f t="shared" si="4"/>
        <v>6196.8</v>
      </c>
    </row>
    <row r="245" ht="12.75" customHeight="1">
      <c r="A245" s="3" t="s">
        <v>523</v>
      </c>
      <c r="B245" s="3" t="s">
        <v>368</v>
      </c>
      <c r="C245" s="3" t="s">
        <v>76</v>
      </c>
      <c r="D245" s="3" t="s">
        <v>24</v>
      </c>
      <c r="E245" s="3" t="s">
        <v>46</v>
      </c>
      <c r="F245" s="3" t="s">
        <v>21</v>
      </c>
      <c r="G245" s="3" t="s">
        <v>13</v>
      </c>
      <c r="H245" s="3">
        <v>7179.0</v>
      </c>
      <c r="I245" s="3" t="s">
        <v>23</v>
      </c>
      <c r="J245" s="3">
        <v>0.2</v>
      </c>
      <c r="K245" s="3">
        <v>9000.0</v>
      </c>
      <c r="L245" s="3" t="s">
        <v>337</v>
      </c>
      <c r="M245" s="3" t="str">
        <f t="shared" si="1"/>
        <v>Below Target</v>
      </c>
      <c r="N245" s="10">
        <f t="shared" si="2"/>
        <v>0.5329815303</v>
      </c>
      <c r="O245" s="11">
        <f t="shared" si="3"/>
        <v>0.2</v>
      </c>
      <c r="P245" s="12">
        <f t="shared" si="4"/>
        <v>5743.2</v>
      </c>
    </row>
    <row r="246" ht="12.75" customHeight="1">
      <c r="A246" s="3" t="s">
        <v>524</v>
      </c>
      <c r="B246" s="3" t="s">
        <v>163</v>
      </c>
      <c r="C246" s="3" t="s">
        <v>45</v>
      </c>
      <c r="D246" s="3" t="s">
        <v>22</v>
      </c>
      <c r="E246" s="3" t="s">
        <v>20</v>
      </c>
      <c r="F246" s="3" t="s">
        <v>21</v>
      </c>
      <c r="G246" s="3" t="s">
        <v>12</v>
      </c>
      <c r="H246" s="3">
        <v>16939.0</v>
      </c>
      <c r="I246" s="3" t="s">
        <v>47</v>
      </c>
      <c r="J246" s="3">
        <v>0.3</v>
      </c>
      <c r="K246" s="3">
        <v>17000.0</v>
      </c>
      <c r="L246" s="15" t="s">
        <v>341</v>
      </c>
      <c r="M246" s="3" t="str">
        <f t="shared" si="1"/>
        <v>Below Target</v>
      </c>
      <c r="N246" s="10">
        <f t="shared" si="2"/>
        <v>0.5336856011</v>
      </c>
      <c r="O246" s="11">
        <f t="shared" si="3"/>
        <v>0.3</v>
      </c>
      <c r="P246" s="12">
        <f t="shared" si="4"/>
        <v>11857.3</v>
      </c>
    </row>
    <row r="247" ht="12.75" customHeight="1">
      <c r="A247" s="3" t="s">
        <v>525</v>
      </c>
      <c r="B247" s="3" t="s">
        <v>526</v>
      </c>
      <c r="C247" s="3" t="s">
        <v>57</v>
      </c>
      <c r="D247" s="3" t="s">
        <v>19</v>
      </c>
      <c r="E247" s="3" t="s">
        <v>58</v>
      </c>
      <c r="F247" s="3" t="s">
        <v>21</v>
      </c>
      <c r="G247" s="3" t="s">
        <v>13</v>
      </c>
      <c r="H247" s="3">
        <v>14546.0</v>
      </c>
      <c r="I247" s="3" t="s">
        <v>47</v>
      </c>
      <c r="J247" s="3">
        <v>0.3</v>
      </c>
      <c r="K247" s="3">
        <v>13000.0</v>
      </c>
      <c r="L247" s="3" t="s">
        <v>73</v>
      </c>
      <c r="M247" s="3" t="str">
        <f t="shared" si="1"/>
        <v>Target Achieved</v>
      </c>
      <c r="N247" s="10">
        <f t="shared" si="2"/>
        <v>0.5343915344</v>
      </c>
      <c r="O247" s="11">
        <f t="shared" si="3"/>
        <v>0.3</v>
      </c>
      <c r="P247" s="12">
        <f t="shared" si="4"/>
        <v>10182.2</v>
      </c>
    </row>
    <row r="248" ht="12.75" customHeight="1">
      <c r="A248" s="3" t="s">
        <v>527</v>
      </c>
      <c r="B248" s="3" t="s">
        <v>253</v>
      </c>
      <c r="C248" s="3" t="s">
        <v>45</v>
      </c>
      <c r="D248" s="3" t="s">
        <v>22</v>
      </c>
      <c r="E248" s="3" t="s">
        <v>58</v>
      </c>
      <c r="F248" s="3" t="s">
        <v>21</v>
      </c>
      <c r="G248" s="3" t="s">
        <v>12</v>
      </c>
      <c r="H248" s="3">
        <v>16801.0</v>
      </c>
      <c r="K248" s="3">
        <v>17000.0</v>
      </c>
      <c r="L248" s="3" t="s">
        <v>332</v>
      </c>
      <c r="M248" s="3" t="str">
        <f t="shared" si="1"/>
        <v>Below Target</v>
      </c>
      <c r="N248" s="10">
        <f t="shared" si="2"/>
        <v>0.5337748344</v>
      </c>
      <c r="O248" s="11">
        <f t="shared" si="3"/>
        <v>0</v>
      </c>
      <c r="P248" s="12">
        <f t="shared" si="4"/>
        <v>16801</v>
      </c>
    </row>
    <row r="249" ht="12.75" customHeight="1">
      <c r="A249" s="3" t="s">
        <v>528</v>
      </c>
      <c r="B249" s="3" t="s">
        <v>529</v>
      </c>
      <c r="C249" s="3" t="s">
        <v>76</v>
      </c>
      <c r="D249" s="3" t="s">
        <v>24</v>
      </c>
      <c r="E249" s="3" t="s">
        <v>58</v>
      </c>
      <c r="F249" s="3" t="s">
        <v>52</v>
      </c>
      <c r="G249" s="3" t="s">
        <v>11</v>
      </c>
      <c r="H249" s="3">
        <v>10281.0</v>
      </c>
      <c r="I249" s="3" t="s">
        <v>37</v>
      </c>
      <c r="J249" s="3">
        <v>0.1</v>
      </c>
      <c r="K249" s="3">
        <v>9000.0</v>
      </c>
      <c r="L249" s="3" t="s">
        <v>319</v>
      </c>
      <c r="M249" s="3" t="str">
        <f t="shared" si="1"/>
        <v>Target Achieved</v>
      </c>
      <c r="N249" s="10">
        <f t="shared" si="2"/>
        <v>0.5344827586</v>
      </c>
      <c r="O249" s="11">
        <f t="shared" si="3"/>
        <v>0.1</v>
      </c>
      <c r="P249" s="12">
        <f t="shared" si="4"/>
        <v>9252.9</v>
      </c>
    </row>
    <row r="250" ht="12.75" customHeight="1">
      <c r="A250" s="3" t="s">
        <v>530</v>
      </c>
      <c r="B250" s="3" t="s">
        <v>54</v>
      </c>
      <c r="C250" s="3" t="s">
        <v>76</v>
      </c>
      <c r="D250" s="3" t="s">
        <v>24</v>
      </c>
      <c r="E250" s="3" t="s">
        <v>20</v>
      </c>
      <c r="F250" s="3" t="s">
        <v>41</v>
      </c>
      <c r="G250" s="3" t="s">
        <v>12</v>
      </c>
      <c r="H250" s="3">
        <v>8203.0</v>
      </c>
      <c r="I250" s="3" t="s">
        <v>47</v>
      </c>
      <c r="J250" s="3">
        <v>0.3</v>
      </c>
      <c r="K250" s="3">
        <v>9000.0</v>
      </c>
      <c r="L250" s="15" t="s">
        <v>234</v>
      </c>
      <c r="M250" s="3" t="str">
        <f t="shared" si="1"/>
        <v>Below Target</v>
      </c>
      <c r="N250" s="10">
        <f t="shared" si="2"/>
        <v>0.5338645418</v>
      </c>
      <c r="O250" s="11">
        <f t="shared" si="3"/>
        <v>0.3</v>
      </c>
      <c r="P250" s="12">
        <f t="shared" si="4"/>
        <v>5742.1</v>
      </c>
    </row>
    <row r="251" ht="12.75" customHeight="1">
      <c r="A251" s="3" t="s">
        <v>531</v>
      </c>
      <c r="B251" s="3" t="s">
        <v>532</v>
      </c>
      <c r="C251" s="3" t="s">
        <v>45</v>
      </c>
      <c r="D251" s="3" t="s">
        <v>22</v>
      </c>
      <c r="E251" s="3" t="s">
        <v>58</v>
      </c>
      <c r="F251" s="3" t="s">
        <v>21</v>
      </c>
      <c r="G251" s="3" t="s">
        <v>12</v>
      </c>
      <c r="H251" s="3">
        <v>17939.0</v>
      </c>
      <c r="K251" s="3">
        <v>17000.0</v>
      </c>
      <c r="L251" s="15" t="s">
        <v>103</v>
      </c>
      <c r="M251" s="3" t="str">
        <f t="shared" si="1"/>
        <v>Target Achieved</v>
      </c>
      <c r="N251" s="10">
        <f t="shared" si="2"/>
        <v>0.5345744681</v>
      </c>
      <c r="O251" s="11">
        <f t="shared" si="3"/>
        <v>0</v>
      </c>
      <c r="P251" s="12">
        <f t="shared" si="4"/>
        <v>17939</v>
      </c>
    </row>
    <row r="252" ht="12.75" customHeight="1">
      <c r="A252" s="3" t="s">
        <v>533</v>
      </c>
      <c r="B252" s="3" t="s">
        <v>431</v>
      </c>
      <c r="C252" s="3" t="s">
        <v>45</v>
      </c>
      <c r="D252" s="3" t="s">
        <v>22</v>
      </c>
      <c r="E252" s="3" t="s">
        <v>58</v>
      </c>
      <c r="F252" s="3" t="s">
        <v>41</v>
      </c>
      <c r="G252" s="3" t="s">
        <v>12</v>
      </c>
      <c r="H252" s="3">
        <v>18563.0</v>
      </c>
      <c r="I252" s="3" t="s">
        <v>47</v>
      </c>
      <c r="J252" s="3">
        <v>0.3</v>
      </c>
      <c r="K252" s="3">
        <v>17000.0</v>
      </c>
      <c r="L252" s="15" t="s">
        <v>322</v>
      </c>
      <c r="M252" s="3" t="str">
        <f t="shared" si="1"/>
        <v>Target Achieved</v>
      </c>
      <c r="N252" s="10">
        <f t="shared" si="2"/>
        <v>0.533954727</v>
      </c>
      <c r="O252" s="11">
        <f t="shared" si="3"/>
        <v>0.3</v>
      </c>
      <c r="P252" s="12">
        <f t="shared" si="4"/>
        <v>12994.1</v>
      </c>
    </row>
    <row r="253" ht="12.75" customHeight="1">
      <c r="A253" s="3" t="s">
        <v>534</v>
      </c>
      <c r="B253" s="3" t="s">
        <v>535</v>
      </c>
      <c r="C253" s="3" t="s">
        <v>18</v>
      </c>
      <c r="D253" s="3" t="s">
        <v>16</v>
      </c>
      <c r="E253" s="3" t="s">
        <v>46</v>
      </c>
      <c r="F253" s="3" t="s">
        <v>52</v>
      </c>
      <c r="G253" s="3" t="s">
        <v>12</v>
      </c>
      <c r="H253" s="3">
        <v>13663.0</v>
      </c>
      <c r="I253" s="3" t="s">
        <v>47</v>
      </c>
      <c r="J253" s="3">
        <v>0.3</v>
      </c>
      <c r="K253" s="3">
        <v>14000.0</v>
      </c>
      <c r="L253" s="15" t="s">
        <v>155</v>
      </c>
      <c r="M253" s="3" t="str">
        <f t="shared" si="1"/>
        <v>Below Target</v>
      </c>
      <c r="N253" s="10">
        <f t="shared" si="2"/>
        <v>0.5333333333</v>
      </c>
      <c r="O253" s="11">
        <f t="shared" si="3"/>
        <v>0.3</v>
      </c>
      <c r="P253" s="12">
        <f t="shared" si="4"/>
        <v>9564.1</v>
      </c>
    </row>
    <row r="254" ht="12.75" customHeight="1">
      <c r="A254" s="3" t="s">
        <v>536</v>
      </c>
      <c r="B254" s="3" t="s">
        <v>390</v>
      </c>
      <c r="C254" s="3" t="s">
        <v>57</v>
      </c>
      <c r="D254" s="3" t="s">
        <v>19</v>
      </c>
      <c r="E254" s="3" t="s">
        <v>46</v>
      </c>
      <c r="F254" s="3" t="s">
        <v>41</v>
      </c>
      <c r="G254" s="3" t="s">
        <v>12</v>
      </c>
      <c r="H254" s="3">
        <v>13777.0</v>
      </c>
      <c r="K254" s="3">
        <v>13000.0</v>
      </c>
      <c r="L254" s="15" t="s">
        <v>341</v>
      </c>
      <c r="M254" s="3" t="str">
        <f t="shared" si="1"/>
        <v>Target Achieved</v>
      </c>
      <c r="N254" s="10">
        <f t="shared" si="2"/>
        <v>0.5340453939</v>
      </c>
      <c r="O254" s="11">
        <f t="shared" si="3"/>
        <v>0</v>
      </c>
      <c r="P254" s="12">
        <f t="shared" si="4"/>
        <v>13777</v>
      </c>
    </row>
    <row r="255" ht="12.75" customHeight="1">
      <c r="A255" s="3" t="s">
        <v>537</v>
      </c>
      <c r="B255" s="3" t="s">
        <v>421</v>
      </c>
      <c r="C255" s="3" t="s">
        <v>57</v>
      </c>
      <c r="D255" s="3" t="s">
        <v>19</v>
      </c>
      <c r="E255" s="3" t="s">
        <v>20</v>
      </c>
      <c r="F255" s="3" t="s">
        <v>21</v>
      </c>
      <c r="G255" s="3" t="s">
        <v>11</v>
      </c>
      <c r="H255" s="3">
        <v>12568.0</v>
      </c>
      <c r="I255" s="3" t="s">
        <v>42</v>
      </c>
      <c r="K255" s="3">
        <v>13000.0</v>
      </c>
      <c r="L255" s="15" t="s">
        <v>341</v>
      </c>
      <c r="M255" s="3" t="str">
        <f t="shared" si="1"/>
        <v>Below Target</v>
      </c>
      <c r="N255" s="10">
        <f t="shared" si="2"/>
        <v>0.5334224599</v>
      </c>
      <c r="O255" s="11" t="str">
        <f t="shared" si="3"/>
        <v/>
      </c>
      <c r="P255" s="12">
        <f t="shared" si="4"/>
        <v>10682.8</v>
      </c>
    </row>
    <row r="256" ht="12.75" customHeight="1">
      <c r="A256" s="3" t="s">
        <v>538</v>
      </c>
      <c r="B256" s="3" t="s">
        <v>473</v>
      </c>
      <c r="C256" s="3" t="s">
        <v>76</v>
      </c>
      <c r="D256" s="3" t="s">
        <v>24</v>
      </c>
      <c r="E256" s="3" t="s">
        <v>58</v>
      </c>
      <c r="F256" s="3" t="s">
        <v>21</v>
      </c>
      <c r="G256" s="3" t="s">
        <v>11</v>
      </c>
      <c r="H256" s="3">
        <v>10125.0</v>
      </c>
      <c r="I256" s="3" t="s">
        <v>37</v>
      </c>
      <c r="J256" s="3">
        <v>0.1</v>
      </c>
      <c r="K256" s="3">
        <v>9000.0</v>
      </c>
      <c r="L256" s="15" t="s">
        <v>352</v>
      </c>
      <c r="M256" s="3" t="str">
        <f t="shared" si="1"/>
        <v>Target Achieved</v>
      </c>
      <c r="N256" s="10">
        <f t="shared" si="2"/>
        <v>0.5341365462</v>
      </c>
      <c r="O256" s="11">
        <f t="shared" si="3"/>
        <v>0.1</v>
      </c>
      <c r="P256" s="12">
        <f t="shared" si="4"/>
        <v>9112.5</v>
      </c>
    </row>
    <row r="257" ht="12.75" customHeight="1">
      <c r="A257" s="3" t="s">
        <v>539</v>
      </c>
      <c r="B257" s="3" t="s">
        <v>540</v>
      </c>
      <c r="C257" s="3" t="s">
        <v>45</v>
      </c>
      <c r="D257" s="3" t="s">
        <v>22</v>
      </c>
      <c r="E257" s="3" t="s">
        <v>58</v>
      </c>
      <c r="F257" s="3" t="s">
        <v>21</v>
      </c>
      <c r="G257" s="3" t="s">
        <v>12</v>
      </c>
      <c r="H257" s="3">
        <v>16141.0</v>
      </c>
      <c r="I257" s="3" t="s">
        <v>23</v>
      </c>
      <c r="J257" s="3">
        <v>0.2</v>
      </c>
      <c r="K257" s="3">
        <v>17000.0</v>
      </c>
      <c r="L257" s="15" t="s">
        <v>147</v>
      </c>
      <c r="M257" s="3" t="str">
        <f t="shared" si="1"/>
        <v>Below Target</v>
      </c>
      <c r="N257" s="10">
        <f t="shared" si="2"/>
        <v>0.5335120643</v>
      </c>
      <c r="O257" s="11">
        <f t="shared" si="3"/>
        <v>0.2</v>
      </c>
      <c r="P257" s="12">
        <f t="shared" si="4"/>
        <v>12912.8</v>
      </c>
    </row>
    <row r="258" ht="12.75" customHeight="1">
      <c r="A258" s="3" t="s">
        <v>541</v>
      </c>
      <c r="B258" s="3" t="s">
        <v>242</v>
      </c>
      <c r="C258" s="3" t="s">
        <v>57</v>
      </c>
      <c r="D258" s="3" t="s">
        <v>19</v>
      </c>
      <c r="E258" s="3" t="s">
        <v>58</v>
      </c>
      <c r="F258" s="3" t="s">
        <v>52</v>
      </c>
      <c r="G258" s="3" t="s">
        <v>11</v>
      </c>
      <c r="H258" s="3">
        <v>14741.0</v>
      </c>
      <c r="I258" s="3" t="s">
        <v>42</v>
      </c>
      <c r="K258" s="3">
        <v>13000.0</v>
      </c>
      <c r="L258" s="15" t="s">
        <v>147</v>
      </c>
      <c r="M258" s="3" t="str">
        <f t="shared" si="1"/>
        <v>Target Achieved</v>
      </c>
      <c r="N258" s="10">
        <f t="shared" si="2"/>
        <v>0.5342281879</v>
      </c>
      <c r="O258" s="11" t="str">
        <f t="shared" si="3"/>
        <v/>
      </c>
      <c r="P258" s="12">
        <f t="shared" si="4"/>
        <v>12529.85</v>
      </c>
    </row>
    <row r="259" ht="12.75" customHeight="1">
      <c r="A259" s="3" t="s">
        <v>542</v>
      </c>
      <c r="B259" s="3" t="s">
        <v>543</v>
      </c>
      <c r="C259" s="3" t="s">
        <v>45</v>
      </c>
      <c r="D259" s="3" t="s">
        <v>22</v>
      </c>
      <c r="E259" s="3" t="s">
        <v>20</v>
      </c>
      <c r="F259" s="3" t="s">
        <v>21</v>
      </c>
      <c r="G259" s="3" t="s">
        <v>13</v>
      </c>
      <c r="H259" s="3">
        <v>17506.0</v>
      </c>
      <c r="I259" s="3" t="s">
        <v>47</v>
      </c>
      <c r="J259" s="3">
        <v>0.3</v>
      </c>
      <c r="K259" s="3">
        <v>17000.0</v>
      </c>
      <c r="L259" s="3" t="s">
        <v>96</v>
      </c>
      <c r="M259" s="3" t="str">
        <f t="shared" si="1"/>
        <v>Target Achieved</v>
      </c>
      <c r="N259" s="10">
        <f t="shared" si="2"/>
        <v>0.5336021505</v>
      </c>
      <c r="O259" s="11">
        <f t="shared" si="3"/>
        <v>0.3</v>
      </c>
      <c r="P259" s="12">
        <f t="shared" si="4"/>
        <v>12254.2</v>
      </c>
    </row>
    <row r="260" ht="12.75" customHeight="1">
      <c r="A260" s="3" t="s">
        <v>544</v>
      </c>
      <c r="B260" s="3" t="s">
        <v>545</v>
      </c>
      <c r="C260" s="3" t="s">
        <v>57</v>
      </c>
      <c r="D260" s="3" t="s">
        <v>19</v>
      </c>
      <c r="E260" s="3" t="s">
        <v>46</v>
      </c>
      <c r="F260" s="3" t="s">
        <v>41</v>
      </c>
      <c r="G260" s="3" t="s">
        <v>13</v>
      </c>
      <c r="H260" s="3">
        <v>12851.0</v>
      </c>
      <c r="I260" s="3" t="s">
        <v>23</v>
      </c>
      <c r="J260" s="3">
        <v>0.2</v>
      </c>
      <c r="K260" s="3">
        <v>13000.0</v>
      </c>
      <c r="L260" s="3" t="s">
        <v>338</v>
      </c>
      <c r="M260" s="3" t="str">
        <f t="shared" si="1"/>
        <v>Below Target</v>
      </c>
      <c r="N260" s="10">
        <f t="shared" si="2"/>
        <v>0.532974428</v>
      </c>
      <c r="O260" s="11">
        <f t="shared" si="3"/>
        <v>0.2</v>
      </c>
      <c r="P260" s="12">
        <f t="shared" si="4"/>
        <v>10280.8</v>
      </c>
    </row>
    <row r="261" ht="12.75" customHeight="1">
      <c r="A261" s="3" t="s">
        <v>546</v>
      </c>
      <c r="B261" s="3" t="s">
        <v>431</v>
      </c>
      <c r="C261" s="3" t="s">
        <v>18</v>
      </c>
      <c r="D261" s="3" t="s">
        <v>16</v>
      </c>
      <c r="E261" s="3" t="s">
        <v>20</v>
      </c>
      <c r="F261" s="3" t="s">
        <v>21</v>
      </c>
      <c r="G261" s="3" t="s">
        <v>12</v>
      </c>
      <c r="H261" s="3">
        <v>13423.0</v>
      </c>
      <c r="I261" s="3" t="s">
        <v>37</v>
      </c>
      <c r="J261" s="3">
        <v>0.1</v>
      </c>
      <c r="K261" s="3">
        <v>14000.0</v>
      </c>
      <c r="L261" s="15" t="s">
        <v>349</v>
      </c>
      <c r="M261" s="3" t="str">
        <f t="shared" si="1"/>
        <v>Below Target</v>
      </c>
      <c r="N261" s="10">
        <f t="shared" si="2"/>
        <v>0.5336927224</v>
      </c>
      <c r="O261" s="11">
        <f t="shared" si="3"/>
        <v>0.1</v>
      </c>
      <c r="P261" s="12">
        <f t="shared" si="4"/>
        <v>12080.7</v>
      </c>
    </row>
    <row r="262" ht="12.75" customHeight="1">
      <c r="A262" s="3" t="s">
        <v>547</v>
      </c>
      <c r="B262" s="3" t="s">
        <v>548</v>
      </c>
      <c r="C262" s="3" t="s">
        <v>45</v>
      </c>
      <c r="D262" s="3" t="s">
        <v>22</v>
      </c>
      <c r="E262" s="3" t="s">
        <v>46</v>
      </c>
      <c r="F262" s="3" t="s">
        <v>52</v>
      </c>
      <c r="G262" s="3" t="s">
        <v>12</v>
      </c>
      <c r="H262" s="3">
        <v>18798.0</v>
      </c>
      <c r="I262" s="3" t="s">
        <v>23</v>
      </c>
      <c r="J262" s="3">
        <v>0.2</v>
      </c>
      <c r="K262" s="3">
        <v>17000.0</v>
      </c>
      <c r="L262" s="3" t="s">
        <v>328</v>
      </c>
      <c r="M262" s="3" t="str">
        <f t="shared" si="1"/>
        <v>Target Achieved</v>
      </c>
      <c r="N262" s="10">
        <f t="shared" si="2"/>
        <v>0.5344129555</v>
      </c>
      <c r="O262" s="11">
        <f t="shared" si="3"/>
        <v>0.2</v>
      </c>
      <c r="P262" s="12">
        <f t="shared" si="4"/>
        <v>15038.4</v>
      </c>
    </row>
    <row r="263" ht="12.75" customHeight="1">
      <c r="A263" s="3" t="s">
        <v>549</v>
      </c>
      <c r="B263" s="3" t="s">
        <v>396</v>
      </c>
      <c r="C263" s="3" t="s">
        <v>57</v>
      </c>
      <c r="D263" s="3" t="s">
        <v>19</v>
      </c>
      <c r="E263" s="3" t="s">
        <v>46</v>
      </c>
      <c r="F263" s="3" t="s">
        <v>41</v>
      </c>
      <c r="G263" s="3" t="s">
        <v>13</v>
      </c>
      <c r="H263" s="3">
        <v>11969.0</v>
      </c>
      <c r="K263" s="3">
        <v>13000.0</v>
      </c>
      <c r="L263" s="15" t="s">
        <v>211</v>
      </c>
      <c r="M263" s="3" t="str">
        <f t="shared" si="1"/>
        <v>Below Target</v>
      </c>
      <c r="N263" s="10">
        <f t="shared" si="2"/>
        <v>0.5337837838</v>
      </c>
      <c r="O263" s="11">
        <f t="shared" si="3"/>
        <v>0</v>
      </c>
      <c r="P263" s="12">
        <f t="shared" si="4"/>
        <v>11969</v>
      </c>
    </row>
    <row r="264" ht="12.75" customHeight="1">
      <c r="A264" s="3" t="s">
        <v>550</v>
      </c>
      <c r="B264" s="3" t="s">
        <v>396</v>
      </c>
      <c r="C264" s="3" t="s">
        <v>45</v>
      </c>
      <c r="D264" s="3" t="s">
        <v>22</v>
      </c>
      <c r="E264" s="3" t="s">
        <v>58</v>
      </c>
      <c r="F264" s="3" t="s">
        <v>52</v>
      </c>
      <c r="G264" s="3" t="s">
        <v>13</v>
      </c>
      <c r="H264" s="3">
        <v>17506.0</v>
      </c>
      <c r="I264" s="3" t="s">
        <v>37</v>
      </c>
      <c r="J264" s="3">
        <v>0.1</v>
      </c>
      <c r="K264" s="3">
        <v>17000.0</v>
      </c>
      <c r="L264" s="15" t="s">
        <v>109</v>
      </c>
      <c r="M264" s="3" t="str">
        <f t="shared" si="1"/>
        <v>Target Achieved</v>
      </c>
      <c r="N264" s="10">
        <f t="shared" si="2"/>
        <v>0.5345060893</v>
      </c>
      <c r="O264" s="11">
        <f t="shared" si="3"/>
        <v>0.1</v>
      </c>
      <c r="P264" s="12">
        <f t="shared" si="4"/>
        <v>15755.4</v>
      </c>
    </row>
    <row r="265" ht="12.75" customHeight="1">
      <c r="A265" s="3" t="s">
        <v>551</v>
      </c>
      <c r="B265" s="3" t="s">
        <v>89</v>
      </c>
      <c r="C265" s="3" t="s">
        <v>76</v>
      </c>
      <c r="D265" s="3" t="s">
        <v>24</v>
      </c>
      <c r="E265" s="3" t="s">
        <v>20</v>
      </c>
      <c r="F265" s="3" t="s">
        <v>21</v>
      </c>
      <c r="G265" s="3" t="s">
        <v>11</v>
      </c>
      <c r="H265" s="3">
        <v>10372.0</v>
      </c>
      <c r="I265" s="3" t="s">
        <v>42</v>
      </c>
      <c r="K265" s="3">
        <v>9000.0</v>
      </c>
      <c r="L265" s="15" t="s">
        <v>109</v>
      </c>
      <c r="M265" s="3" t="str">
        <f t="shared" si="1"/>
        <v>Target Achieved</v>
      </c>
      <c r="N265" s="10">
        <f t="shared" si="2"/>
        <v>0.5338753388</v>
      </c>
      <c r="O265" s="11" t="str">
        <f t="shared" si="3"/>
        <v/>
      </c>
      <c r="P265" s="12">
        <f t="shared" si="4"/>
        <v>8816.2</v>
      </c>
    </row>
    <row r="266" ht="12.75" customHeight="1">
      <c r="A266" s="3" t="s">
        <v>552</v>
      </c>
      <c r="B266" s="3" t="s">
        <v>98</v>
      </c>
      <c r="C266" s="3" t="s">
        <v>18</v>
      </c>
      <c r="D266" s="3" t="s">
        <v>16</v>
      </c>
      <c r="E266" s="3" t="s">
        <v>58</v>
      </c>
      <c r="F266" s="3" t="s">
        <v>21</v>
      </c>
      <c r="G266" s="3" t="s">
        <v>12</v>
      </c>
      <c r="H266" s="3">
        <v>14119.0</v>
      </c>
      <c r="I266" s="3" t="s">
        <v>47</v>
      </c>
      <c r="J266" s="3">
        <v>0.3</v>
      </c>
      <c r="K266" s="3">
        <v>14000.0</v>
      </c>
      <c r="L266" s="15" t="s">
        <v>353</v>
      </c>
      <c r="M266" s="3" t="str">
        <f t="shared" si="1"/>
        <v>Target Achieved</v>
      </c>
      <c r="N266" s="10">
        <f t="shared" si="2"/>
        <v>0.5332428765</v>
      </c>
      <c r="O266" s="11">
        <f t="shared" si="3"/>
        <v>0.3</v>
      </c>
      <c r="P266" s="12">
        <f t="shared" si="4"/>
        <v>9883.3</v>
      </c>
    </row>
    <row r="267" ht="12.75" customHeight="1">
      <c r="A267" s="3" t="s">
        <v>553</v>
      </c>
      <c r="B267" s="3" t="s">
        <v>554</v>
      </c>
      <c r="C267" s="3" t="s">
        <v>57</v>
      </c>
      <c r="D267" s="3" t="s">
        <v>19</v>
      </c>
      <c r="E267" s="3" t="s">
        <v>46</v>
      </c>
      <c r="F267" s="3" t="s">
        <v>21</v>
      </c>
      <c r="G267" s="3" t="s">
        <v>12</v>
      </c>
      <c r="H267" s="3">
        <v>14730.0</v>
      </c>
      <c r="I267" s="3" t="s">
        <v>37</v>
      </c>
      <c r="J267" s="3">
        <v>0.1</v>
      </c>
      <c r="K267" s="3">
        <v>13000.0</v>
      </c>
      <c r="L267" s="3" t="s">
        <v>106</v>
      </c>
      <c r="M267" s="3" t="str">
        <f t="shared" si="1"/>
        <v>Target Achieved</v>
      </c>
      <c r="N267" s="10">
        <f t="shared" si="2"/>
        <v>0.5326086957</v>
      </c>
      <c r="O267" s="11">
        <f t="shared" si="3"/>
        <v>0.1</v>
      </c>
      <c r="P267" s="12">
        <f t="shared" si="4"/>
        <v>13257</v>
      </c>
    </row>
    <row r="268" ht="12.75" customHeight="1">
      <c r="A268" s="3" t="s">
        <v>555</v>
      </c>
      <c r="B268" s="3" t="s">
        <v>300</v>
      </c>
      <c r="C268" s="3" t="s">
        <v>57</v>
      </c>
      <c r="D268" s="3" t="s">
        <v>19</v>
      </c>
      <c r="E268" s="3" t="s">
        <v>58</v>
      </c>
      <c r="F268" s="3" t="s">
        <v>41</v>
      </c>
      <c r="G268" s="3" t="s">
        <v>13</v>
      </c>
      <c r="H268" s="3">
        <v>12321.0</v>
      </c>
      <c r="I268" s="3" t="s">
        <v>23</v>
      </c>
      <c r="J268" s="3">
        <v>0.2</v>
      </c>
      <c r="K268" s="3">
        <v>13000.0</v>
      </c>
      <c r="L268" s="3" t="s">
        <v>334</v>
      </c>
      <c r="M268" s="3" t="str">
        <f t="shared" si="1"/>
        <v>Below Target</v>
      </c>
      <c r="N268" s="10">
        <f t="shared" si="2"/>
        <v>0.5319727891</v>
      </c>
      <c r="O268" s="11">
        <f t="shared" si="3"/>
        <v>0.2</v>
      </c>
      <c r="P268" s="12">
        <f t="shared" si="4"/>
        <v>9856.8</v>
      </c>
    </row>
    <row r="269" ht="12.75" customHeight="1">
      <c r="A269" s="3" t="s">
        <v>556</v>
      </c>
      <c r="B269" s="3" t="s">
        <v>548</v>
      </c>
      <c r="C269" s="3" t="s">
        <v>18</v>
      </c>
      <c r="D269" s="3" t="s">
        <v>16</v>
      </c>
      <c r="E269" s="3" t="s">
        <v>58</v>
      </c>
      <c r="F269" s="3" t="s">
        <v>41</v>
      </c>
      <c r="G269" s="3" t="s">
        <v>12</v>
      </c>
      <c r="H269" s="3">
        <v>15917.0</v>
      </c>
      <c r="I269" s="3" t="s">
        <v>42</v>
      </c>
      <c r="K269" s="3">
        <v>14000.0</v>
      </c>
      <c r="L269" s="3" t="s">
        <v>73</v>
      </c>
      <c r="M269" s="3" t="str">
        <f t="shared" si="1"/>
        <v>Target Achieved</v>
      </c>
      <c r="N269" s="10">
        <f t="shared" si="2"/>
        <v>0.5326975477</v>
      </c>
      <c r="O269" s="11" t="str">
        <f t="shared" si="3"/>
        <v/>
      </c>
      <c r="P269" s="12">
        <f t="shared" si="4"/>
        <v>13529.45</v>
      </c>
    </row>
    <row r="270" ht="12.75" customHeight="1">
      <c r="A270" s="3" t="s">
        <v>557</v>
      </c>
      <c r="B270" s="3" t="s">
        <v>148</v>
      </c>
      <c r="C270" s="3" t="s">
        <v>45</v>
      </c>
      <c r="D270" s="3" t="s">
        <v>22</v>
      </c>
      <c r="E270" s="3" t="s">
        <v>20</v>
      </c>
      <c r="F270" s="3" t="s">
        <v>52</v>
      </c>
      <c r="G270" s="3" t="s">
        <v>13</v>
      </c>
      <c r="H270" s="3">
        <v>17058.0</v>
      </c>
      <c r="I270" s="3" t="s">
        <v>23</v>
      </c>
      <c r="J270" s="3">
        <v>0.2</v>
      </c>
      <c r="K270" s="3">
        <v>17000.0</v>
      </c>
      <c r="L270" s="15" t="s">
        <v>275</v>
      </c>
      <c r="M270" s="3" t="str">
        <f t="shared" si="1"/>
        <v>Target Achieved</v>
      </c>
      <c r="N270" s="10">
        <f t="shared" si="2"/>
        <v>0.5320600273</v>
      </c>
      <c r="O270" s="11">
        <f t="shared" si="3"/>
        <v>0.2</v>
      </c>
      <c r="P270" s="12">
        <f t="shared" si="4"/>
        <v>13646.4</v>
      </c>
    </row>
    <row r="271" ht="12.75" customHeight="1">
      <c r="A271" s="3" t="s">
        <v>558</v>
      </c>
      <c r="B271" s="3" t="s">
        <v>473</v>
      </c>
      <c r="C271" s="3" t="s">
        <v>57</v>
      </c>
      <c r="D271" s="3" t="s">
        <v>19</v>
      </c>
      <c r="E271" s="3" t="s">
        <v>20</v>
      </c>
      <c r="F271" s="3" t="s">
        <v>52</v>
      </c>
      <c r="G271" s="3" t="s">
        <v>12</v>
      </c>
      <c r="H271" s="3">
        <v>14694.0</v>
      </c>
      <c r="I271" s="3" t="s">
        <v>42</v>
      </c>
      <c r="K271" s="3">
        <v>13000.0</v>
      </c>
      <c r="L271" s="3" t="s">
        <v>332</v>
      </c>
      <c r="M271" s="3" t="str">
        <f t="shared" si="1"/>
        <v>Target Achieved</v>
      </c>
      <c r="N271" s="10">
        <f t="shared" si="2"/>
        <v>0.531420765</v>
      </c>
      <c r="O271" s="11" t="str">
        <f t="shared" si="3"/>
        <v/>
      </c>
      <c r="P271" s="12">
        <f t="shared" si="4"/>
        <v>12489.9</v>
      </c>
    </row>
    <row r="272" ht="12.75" customHeight="1">
      <c r="A272" s="3" t="s">
        <v>559</v>
      </c>
      <c r="B272" s="3" t="s">
        <v>560</v>
      </c>
      <c r="C272" s="3" t="s">
        <v>18</v>
      </c>
      <c r="D272" s="3" t="s">
        <v>16</v>
      </c>
      <c r="E272" s="3" t="s">
        <v>46</v>
      </c>
      <c r="F272" s="3" t="s">
        <v>41</v>
      </c>
      <c r="G272" s="3" t="s">
        <v>13</v>
      </c>
      <c r="H272" s="3">
        <v>15885.0</v>
      </c>
      <c r="I272" s="3" t="s">
        <v>42</v>
      </c>
      <c r="K272" s="3">
        <v>14000.0</v>
      </c>
      <c r="L272" s="3" t="s">
        <v>320</v>
      </c>
      <c r="M272" s="3" t="str">
        <f t="shared" si="1"/>
        <v>Target Achieved</v>
      </c>
      <c r="N272" s="10">
        <f t="shared" si="2"/>
        <v>0.5307797538</v>
      </c>
      <c r="O272" s="11" t="str">
        <f t="shared" si="3"/>
        <v/>
      </c>
      <c r="P272" s="12">
        <f t="shared" si="4"/>
        <v>13502.25</v>
      </c>
    </row>
    <row r="273" ht="12.75" customHeight="1">
      <c r="A273" s="3" t="s">
        <v>561</v>
      </c>
      <c r="B273" s="3" t="s">
        <v>298</v>
      </c>
      <c r="C273" s="3" t="s">
        <v>76</v>
      </c>
      <c r="D273" s="3" t="s">
        <v>24</v>
      </c>
      <c r="E273" s="3" t="s">
        <v>20</v>
      </c>
      <c r="F273" s="3" t="s">
        <v>52</v>
      </c>
      <c r="G273" s="3" t="s">
        <v>13</v>
      </c>
      <c r="H273" s="3">
        <v>9039.0</v>
      </c>
      <c r="I273" s="3" t="s">
        <v>42</v>
      </c>
      <c r="K273" s="3">
        <v>9000.0</v>
      </c>
      <c r="L273" s="3" t="s">
        <v>268</v>
      </c>
      <c r="M273" s="3" t="str">
        <f t="shared" si="1"/>
        <v>Target Achieved</v>
      </c>
      <c r="N273" s="10">
        <f t="shared" si="2"/>
        <v>0.5301369863</v>
      </c>
      <c r="O273" s="11" t="str">
        <f t="shared" si="3"/>
        <v/>
      </c>
      <c r="P273" s="12">
        <f t="shared" si="4"/>
        <v>7683.15</v>
      </c>
    </row>
    <row r="274" ht="12.75" customHeight="1">
      <c r="A274" s="3" t="s">
        <v>562</v>
      </c>
      <c r="B274" s="3" t="s">
        <v>370</v>
      </c>
      <c r="C274" s="3" t="s">
        <v>76</v>
      </c>
      <c r="D274" s="3" t="s">
        <v>24</v>
      </c>
      <c r="E274" s="3" t="s">
        <v>46</v>
      </c>
      <c r="F274" s="3" t="s">
        <v>52</v>
      </c>
      <c r="G274" s="3" t="s">
        <v>11</v>
      </c>
      <c r="H274" s="3">
        <v>8218.0</v>
      </c>
      <c r="K274" s="3">
        <v>9000.0</v>
      </c>
      <c r="L274" s="15" t="s">
        <v>109</v>
      </c>
      <c r="M274" s="3" t="str">
        <f t="shared" si="1"/>
        <v>Below Target</v>
      </c>
      <c r="N274" s="10">
        <f t="shared" si="2"/>
        <v>0.5294924554</v>
      </c>
      <c r="O274" s="11">
        <f t="shared" si="3"/>
        <v>0</v>
      </c>
      <c r="P274" s="12">
        <f t="shared" si="4"/>
        <v>8218</v>
      </c>
    </row>
    <row r="275" ht="12.75" customHeight="1">
      <c r="A275" s="3" t="s">
        <v>563</v>
      </c>
      <c r="B275" s="3" t="s">
        <v>564</v>
      </c>
      <c r="C275" s="3" t="s">
        <v>57</v>
      </c>
      <c r="D275" s="3" t="s">
        <v>19</v>
      </c>
      <c r="E275" s="3" t="s">
        <v>58</v>
      </c>
      <c r="F275" s="3" t="s">
        <v>21</v>
      </c>
      <c r="G275" s="3" t="s">
        <v>11</v>
      </c>
      <c r="H275" s="3">
        <v>12902.0</v>
      </c>
      <c r="I275" s="3" t="s">
        <v>23</v>
      </c>
      <c r="J275" s="3">
        <v>0.2</v>
      </c>
      <c r="K275" s="3">
        <v>13000.0</v>
      </c>
      <c r="L275" s="3" t="s">
        <v>332</v>
      </c>
      <c r="M275" s="3" t="str">
        <f t="shared" si="1"/>
        <v>Below Target</v>
      </c>
      <c r="N275" s="10">
        <f t="shared" si="2"/>
        <v>0.5302197802</v>
      </c>
      <c r="O275" s="11">
        <f t="shared" si="3"/>
        <v>0.2</v>
      </c>
      <c r="P275" s="12">
        <f t="shared" si="4"/>
        <v>10321.6</v>
      </c>
    </row>
    <row r="276" ht="12.75" customHeight="1">
      <c r="A276" s="3" t="s">
        <v>565</v>
      </c>
      <c r="B276" s="3" t="s">
        <v>473</v>
      </c>
      <c r="C276" s="3" t="s">
        <v>45</v>
      </c>
      <c r="D276" s="3" t="s">
        <v>22</v>
      </c>
      <c r="E276" s="3" t="s">
        <v>20</v>
      </c>
      <c r="F276" s="3" t="s">
        <v>21</v>
      </c>
      <c r="G276" s="3" t="s">
        <v>12</v>
      </c>
      <c r="H276" s="3">
        <v>18525.0</v>
      </c>
      <c r="I276" s="3" t="s">
        <v>47</v>
      </c>
      <c r="J276" s="3">
        <v>0.3</v>
      </c>
      <c r="K276" s="3">
        <v>17000.0</v>
      </c>
      <c r="L276" s="3" t="s">
        <v>314</v>
      </c>
      <c r="M276" s="3" t="str">
        <f t="shared" si="1"/>
        <v>Target Achieved</v>
      </c>
      <c r="N276" s="10">
        <f t="shared" si="2"/>
        <v>0.5309491059</v>
      </c>
      <c r="O276" s="11">
        <f t="shared" si="3"/>
        <v>0.3</v>
      </c>
      <c r="P276" s="12">
        <f t="shared" si="4"/>
        <v>12967.5</v>
      </c>
    </row>
    <row r="277" ht="12.75" customHeight="1">
      <c r="A277" s="3" t="s">
        <v>566</v>
      </c>
      <c r="B277" s="3" t="s">
        <v>174</v>
      </c>
      <c r="C277" s="3" t="s">
        <v>45</v>
      </c>
      <c r="D277" s="3" t="s">
        <v>22</v>
      </c>
      <c r="E277" s="3" t="s">
        <v>20</v>
      </c>
      <c r="F277" s="3" t="s">
        <v>52</v>
      </c>
      <c r="G277" s="3" t="s">
        <v>13</v>
      </c>
      <c r="H277" s="3">
        <v>16307.0</v>
      </c>
      <c r="I277" s="3" t="s">
        <v>23</v>
      </c>
      <c r="J277" s="3">
        <v>0.2</v>
      </c>
      <c r="K277" s="3">
        <v>17000.0</v>
      </c>
      <c r="L277" s="3" t="s">
        <v>345</v>
      </c>
      <c r="M277" s="3" t="str">
        <f t="shared" si="1"/>
        <v>Below Target</v>
      </c>
      <c r="N277" s="10">
        <f t="shared" si="2"/>
        <v>0.5303030303</v>
      </c>
      <c r="O277" s="11">
        <f t="shared" si="3"/>
        <v>0.2</v>
      </c>
      <c r="P277" s="12">
        <f t="shared" si="4"/>
        <v>13045.6</v>
      </c>
    </row>
    <row r="278" ht="12.75" customHeight="1">
      <c r="A278" s="3" t="s">
        <v>567</v>
      </c>
      <c r="B278" s="3" t="s">
        <v>351</v>
      </c>
      <c r="C278" s="3" t="s">
        <v>76</v>
      </c>
      <c r="D278" s="3" t="s">
        <v>24</v>
      </c>
      <c r="E278" s="3" t="s">
        <v>46</v>
      </c>
      <c r="F278" s="3" t="s">
        <v>41</v>
      </c>
      <c r="G278" s="3" t="s">
        <v>13</v>
      </c>
      <c r="H278" s="3">
        <v>7207.0</v>
      </c>
      <c r="I278" s="3" t="s">
        <v>47</v>
      </c>
      <c r="J278" s="3">
        <v>0.3</v>
      </c>
      <c r="K278" s="3">
        <v>9000.0</v>
      </c>
      <c r="L278" s="15" t="s">
        <v>183</v>
      </c>
      <c r="M278" s="3" t="str">
        <f t="shared" si="1"/>
        <v>Below Target</v>
      </c>
      <c r="N278" s="10">
        <f t="shared" si="2"/>
        <v>0.5310344828</v>
      </c>
      <c r="O278" s="11">
        <f t="shared" si="3"/>
        <v>0.3</v>
      </c>
      <c r="P278" s="12">
        <f t="shared" si="4"/>
        <v>5044.9</v>
      </c>
    </row>
    <row r="279" ht="12.75" customHeight="1">
      <c r="A279" s="3" t="s">
        <v>568</v>
      </c>
      <c r="B279" s="3" t="s">
        <v>405</v>
      </c>
      <c r="C279" s="3" t="s">
        <v>76</v>
      </c>
      <c r="D279" s="3" t="s">
        <v>24</v>
      </c>
      <c r="E279" s="3" t="s">
        <v>46</v>
      </c>
      <c r="F279" s="3" t="s">
        <v>41</v>
      </c>
      <c r="G279" s="3" t="s">
        <v>11</v>
      </c>
      <c r="H279" s="3">
        <v>10824.0</v>
      </c>
      <c r="I279" s="3" t="s">
        <v>42</v>
      </c>
      <c r="K279" s="3">
        <v>9000.0</v>
      </c>
      <c r="L279" s="3" t="s">
        <v>319</v>
      </c>
      <c r="M279" s="3" t="str">
        <f t="shared" si="1"/>
        <v>Target Achieved</v>
      </c>
      <c r="N279" s="10">
        <f t="shared" si="2"/>
        <v>0.5317679558</v>
      </c>
      <c r="O279" s="11" t="str">
        <f t="shared" si="3"/>
        <v/>
      </c>
      <c r="P279" s="12">
        <f t="shared" si="4"/>
        <v>9200.4</v>
      </c>
    </row>
    <row r="280" ht="12.75" customHeight="1">
      <c r="A280" s="3" t="s">
        <v>569</v>
      </c>
      <c r="B280" s="3" t="s">
        <v>508</v>
      </c>
      <c r="C280" s="3" t="s">
        <v>57</v>
      </c>
      <c r="D280" s="3" t="s">
        <v>19</v>
      </c>
      <c r="E280" s="3" t="s">
        <v>58</v>
      </c>
      <c r="F280" s="3" t="s">
        <v>52</v>
      </c>
      <c r="G280" s="3" t="s">
        <v>11</v>
      </c>
      <c r="H280" s="3">
        <v>13042.0</v>
      </c>
      <c r="I280" s="3" t="s">
        <v>47</v>
      </c>
      <c r="J280" s="3">
        <v>0.3</v>
      </c>
      <c r="K280" s="3">
        <v>13000.0</v>
      </c>
      <c r="L280" s="15" t="s">
        <v>177</v>
      </c>
      <c r="M280" s="3" t="str">
        <f t="shared" si="1"/>
        <v>Target Achieved</v>
      </c>
      <c r="N280" s="10">
        <f t="shared" si="2"/>
        <v>0.531120332</v>
      </c>
      <c r="O280" s="11">
        <f t="shared" si="3"/>
        <v>0.3</v>
      </c>
      <c r="P280" s="12">
        <f t="shared" si="4"/>
        <v>9129.4</v>
      </c>
    </row>
    <row r="281" ht="12.75" customHeight="1">
      <c r="A281" s="3" t="s">
        <v>570</v>
      </c>
      <c r="B281" s="3" t="s">
        <v>100</v>
      </c>
      <c r="C281" s="3" t="s">
        <v>76</v>
      </c>
      <c r="D281" s="3" t="s">
        <v>24</v>
      </c>
      <c r="E281" s="3" t="s">
        <v>20</v>
      </c>
      <c r="F281" s="3" t="s">
        <v>21</v>
      </c>
      <c r="G281" s="3" t="s">
        <v>13</v>
      </c>
      <c r="H281" s="3">
        <v>7881.0</v>
      </c>
      <c r="I281" s="3" t="s">
        <v>42</v>
      </c>
      <c r="K281" s="3">
        <v>9000.0</v>
      </c>
      <c r="L281" s="3" t="s">
        <v>334</v>
      </c>
      <c r="M281" s="3" t="str">
        <f t="shared" si="1"/>
        <v>Below Target</v>
      </c>
      <c r="N281" s="10">
        <f t="shared" si="2"/>
        <v>0.5304709141</v>
      </c>
      <c r="O281" s="11" t="str">
        <f t="shared" si="3"/>
        <v/>
      </c>
      <c r="P281" s="12">
        <f t="shared" si="4"/>
        <v>6698.85</v>
      </c>
    </row>
    <row r="282" ht="12.75" customHeight="1">
      <c r="A282" s="3" t="s">
        <v>571</v>
      </c>
      <c r="B282" s="3" t="s">
        <v>205</v>
      </c>
      <c r="C282" s="3" t="s">
        <v>45</v>
      </c>
      <c r="D282" s="3" t="s">
        <v>22</v>
      </c>
      <c r="E282" s="3" t="s">
        <v>58</v>
      </c>
      <c r="F282" s="3" t="s">
        <v>52</v>
      </c>
      <c r="G282" s="3" t="s">
        <v>12</v>
      </c>
      <c r="H282" s="3">
        <v>17754.0</v>
      </c>
      <c r="K282" s="3">
        <v>17000.0</v>
      </c>
      <c r="L282" s="3" t="s">
        <v>268</v>
      </c>
      <c r="M282" s="3" t="str">
        <f t="shared" si="1"/>
        <v>Target Achieved</v>
      </c>
      <c r="N282" s="10">
        <f t="shared" si="2"/>
        <v>0.5312066574</v>
      </c>
      <c r="O282" s="11">
        <f t="shared" si="3"/>
        <v>0</v>
      </c>
      <c r="P282" s="12">
        <f t="shared" si="4"/>
        <v>17754</v>
      </c>
    </row>
    <row r="283" ht="12.75" customHeight="1">
      <c r="A283" s="3" t="s">
        <v>572</v>
      </c>
      <c r="B283" s="3" t="s">
        <v>233</v>
      </c>
      <c r="C283" s="3" t="s">
        <v>18</v>
      </c>
      <c r="D283" s="3" t="s">
        <v>16</v>
      </c>
      <c r="E283" s="3" t="s">
        <v>58</v>
      </c>
      <c r="F283" s="3" t="s">
        <v>41</v>
      </c>
      <c r="G283" s="3" t="s">
        <v>11</v>
      </c>
      <c r="H283" s="3">
        <v>14979.0</v>
      </c>
      <c r="I283" s="3" t="s">
        <v>47</v>
      </c>
      <c r="J283" s="3">
        <v>0.3</v>
      </c>
      <c r="K283" s="3">
        <v>14000.0</v>
      </c>
      <c r="L283" s="3" t="s">
        <v>323</v>
      </c>
      <c r="M283" s="3" t="str">
        <f t="shared" si="1"/>
        <v>Target Achieved</v>
      </c>
      <c r="N283" s="10">
        <f t="shared" si="2"/>
        <v>0.5305555556</v>
      </c>
      <c r="O283" s="11">
        <f t="shared" si="3"/>
        <v>0.3</v>
      </c>
      <c r="P283" s="12">
        <f t="shared" si="4"/>
        <v>10485.3</v>
      </c>
    </row>
    <row r="284" ht="12.75" customHeight="1">
      <c r="A284" s="3" t="s">
        <v>573</v>
      </c>
      <c r="B284" s="3" t="s">
        <v>574</v>
      </c>
      <c r="C284" s="3" t="s">
        <v>18</v>
      </c>
      <c r="D284" s="3" t="s">
        <v>16</v>
      </c>
      <c r="E284" s="3" t="s">
        <v>58</v>
      </c>
      <c r="F284" s="3" t="s">
        <v>41</v>
      </c>
      <c r="G284" s="3" t="s">
        <v>12</v>
      </c>
      <c r="H284" s="3">
        <v>14301.0</v>
      </c>
      <c r="I284" s="3" t="s">
        <v>23</v>
      </c>
      <c r="J284" s="3">
        <v>0.2</v>
      </c>
      <c r="K284" s="3">
        <v>14000.0</v>
      </c>
      <c r="L284" s="3" t="s">
        <v>336</v>
      </c>
      <c r="M284" s="3" t="str">
        <f t="shared" si="1"/>
        <v>Target Achieved</v>
      </c>
      <c r="N284" s="10">
        <f t="shared" si="2"/>
        <v>0.5299026426</v>
      </c>
      <c r="O284" s="11">
        <f t="shared" si="3"/>
        <v>0.2</v>
      </c>
      <c r="P284" s="12">
        <f t="shared" si="4"/>
        <v>11440.8</v>
      </c>
    </row>
    <row r="285" ht="12.75" customHeight="1">
      <c r="A285" s="3" t="s">
        <v>575</v>
      </c>
      <c r="B285" s="3" t="s">
        <v>548</v>
      </c>
      <c r="C285" s="3" t="s">
        <v>18</v>
      </c>
      <c r="D285" s="3" t="s">
        <v>16</v>
      </c>
      <c r="E285" s="3" t="s">
        <v>58</v>
      </c>
      <c r="F285" s="3" t="s">
        <v>52</v>
      </c>
      <c r="G285" s="3" t="s">
        <v>11</v>
      </c>
      <c r="H285" s="3">
        <v>15130.0</v>
      </c>
      <c r="I285" s="3" t="s">
        <v>42</v>
      </c>
      <c r="K285" s="3">
        <v>14000.0</v>
      </c>
      <c r="L285" s="3" t="s">
        <v>73</v>
      </c>
      <c r="M285" s="3" t="str">
        <f t="shared" si="1"/>
        <v>Target Achieved</v>
      </c>
      <c r="N285" s="10">
        <f t="shared" si="2"/>
        <v>0.5292479109</v>
      </c>
      <c r="O285" s="11" t="str">
        <f t="shared" si="3"/>
        <v/>
      </c>
      <c r="P285" s="12">
        <f t="shared" si="4"/>
        <v>12860.5</v>
      </c>
    </row>
    <row r="286" ht="12.75" customHeight="1">
      <c r="A286" s="3" t="s">
        <v>576</v>
      </c>
      <c r="B286" s="3" t="s">
        <v>560</v>
      </c>
      <c r="C286" s="3" t="s">
        <v>18</v>
      </c>
      <c r="D286" s="3" t="s">
        <v>16</v>
      </c>
      <c r="E286" s="3" t="s">
        <v>46</v>
      </c>
      <c r="F286" s="3" t="s">
        <v>41</v>
      </c>
      <c r="G286" s="3" t="s">
        <v>11</v>
      </c>
      <c r="H286" s="3">
        <v>13528.0</v>
      </c>
      <c r="I286" s="3" t="s">
        <v>47</v>
      </c>
      <c r="J286" s="3">
        <v>0.3</v>
      </c>
      <c r="K286" s="3">
        <v>14000.0</v>
      </c>
      <c r="L286" s="15" t="s">
        <v>349</v>
      </c>
      <c r="M286" s="3" t="str">
        <f t="shared" si="1"/>
        <v>Below Target</v>
      </c>
      <c r="N286" s="10">
        <f t="shared" si="2"/>
        <v>0.5285913529</v>
      </c>
      <c r="O286" s="11">
        <f t="shared" si="3"/>
        <v>0.3</v>
      </c>
      <c r="P286" s="12">
        <f t="shared" si="4"/>
        <v>9469.6</v>
      </c>
    </row>
    <row r="287" ht="12.75" customHeight="1">
      <c r="A287" s="3" t="s">
        <v>577</v>
      </c>
      <c r="B287" s="3" t="s">
        <v>578</v>
      </c>
      <c r="C287" s="3" t="s">
        <v>57</v>
      </c>
      <c r="D287" s="3" t="s">
        <v>19</v>
      </c>
      <c r="E287" s="3" t="s">
        <v>46</v>
      </c>
      <c r="F287" s="3" t="s">
        <v>52</v>
      </c>
      <c r="G287" s="3" t="s">
        <v>12</v>
      </c>
      <c r="H287" s="3">
        <v>12644.0</v>
      </c>
      <c r="I287" s="3" t="s">
        <v>42</v>
      </c>
      <c r="K287" s="3">
        <v>13000.0</v>
      </c>
      <c r="L287" s="15" t="s">
        <v>341</v>
      </c>
      <c r="M287" s="3" t="str">
        <f t="shared" si="1"/>
        <v>Below Target</v>
      </c>
      <c r="N287" s="10">
        <f t="shared" si="2"/>
        <v>0.5293296089</v>
      </c>
      <c r="O287" s="11" t="str">
        <f t="shared" si="3"/>
        <v/>
      </c>
      <c r="P287" s="12">
        <f t="shared" si="4"/>
        <v>10747.4</v>
      </c>
    </row>
    <row r="288" ht="12.75" customHeight="1">
      <c r="A288" s="3" t="s">
        <v>579</v>
      </c>
      <c r="B288" s="3" t="s">
        <v>205</v>
      </c>
      <c r="C288" s="3" t="s">
        <v>57</v>
      </c>
      <c r="D288" s="3" t="s">
        <v>19</v>
      </c>
      <c r="E288" s="3" t="s">
        <v>20</v>
      </c>
      <c r="F288" s="3" t="s">
        <v>21</v>
      </c>
      <c r="G288" s="3" t="s">
        <v>11</v>
      </c>
      <c r="H288" s="3">
        <v>13127.0</v>
      </c>
      <c r="K288" s="3">
        <v>13000.0</v>
      </c>
      <c r="L288" s="15" t="s">
        <v>114</v>
      </c>
      <c r="M288" s="3" t="str">
        <f t="shared" si="1"/>
        <v>Target Achieved</v>
      </c>
      <c r="N288" s="10">
        <f t="shared" si="2"/>
        <v>0.5300699301</v>
      </c>
      <c r="O288" s="11">
        <f t="shared" si="3"/>
        <v>0</v>
      </c>
      <c r="P288" s="12">
        <f t="shared" si="4"/>
        <v>13127</v>
      </c>
    </row>
    <row r="289" ht="12.75" customHeight="1">
      <c r="A289" s="3" t="s">
        <v>580</v>
      </c>
      <c r="B289" s="3" t="s">
        <v>113</v>
      </c>
      <c r="C289" s="3" t="s">
        <v>57</v>
      </c>
      <c r="D289" s="3" t="s">
        <v>19</v>
      </c>
      <c r="E289" s="3" t="s">
        <v>58</v>
      </c>
      <c r="F289" s="3" t="s">
        <v>52</v>
      </c>
      <c r="G289" s="3" t="s">
        <v>11</v>
      </c>
      <c r="H289" s="3">
        <v>11665.0</v>
      </c>
      <c r="K289" s="3">
        <v>13000.0</v>
      </c>
      <c r="L289" s="15" t="s">
        <v>322</v>
      </c>
      <c r="M289" s="3" t="str">
        <f t="shared" si="1"/>
        <v>Below Target</v>
      </c>
      <c r="N289" s="10">
        <f t="shared" si="2"/>
        <v>0.5294117647</v>
      </c>
      <c r="O289" s="11">
        <f t="shared" si="3"/>
        <v>0</v>
      </c>
      <c r="P289" s="12">
        <f t="shared" si="4"/>
        <v>11665</v>
      </c>
    </row>
    <row r="290" ht="12.75" customHeight="1">
      <c r="A290" s="3" t="s">
        <v>581</v>
      </c>
      <c r="B290" s="3" t="s">
        <v>471</v>
      </c>
      <c r="C290" s="3" t="s">
        <v>45</v>
      </c>
      <c r="D290" s="3" t="s">
        <v>22</v>
      </c>
      <c r="E290" s="3" t="s">
        <v>20</v>
      </c>
      <c r="F290" s="3" t="s">
        <v>21</v>
      </c>
      <c r="G290" s="3" t="s">
        <v>12</v>
      </c>
      <c r="H290" s="3">
        <v>18392.0</v>
      </c>
      <c r="I290" s="3" t="s">
        <v>42</v>
      </c>
      <c r="K290" s="3">
        <v>17000.0</v>
      </c>
      <c r="L290" s="15" t="s">
        <v>348</v>
      </c>
      <c r="M290" s="3" t="str">
        <f t="shared" si="1"/>
        <v>Target Achieved</v>
      </c>
      <c r="N290" s="10">
        <f t="shared" si="2"/>
        <v>0.5301542777</v>
      </c>
      <c r="O290" s="11" t="str">
        <f t="shared" si="3"/>
        <v/>
      </c>
      <c r="P290" s="12">
        <f t="shared" si="4"/>
        <v>15633.2</v>
      </c>
    </row>
    <row r="291" ht="12.75" customHeight="1">
      <c r="A291" s="3" t="s">
        <v>582</v>
      </c>
      <c r="B291" s="3" t="s">
        <v>583</v>
      </c>
      <c r="C291" s="3" t="s">
        <v>45</v>
      </c>
      <c r="D291" s="3" t="s">
        <v>22</v>
      </c>
      <c r="E291" s="3" t="s">
        <v>58</v>
      </c>
      <c r="F291" s="3" t="s">
        <v>41</v>
      </c>
      <c r="G291" s="3" t="s">
        <v>11</v>
      </c>
      <c r="H291" s="3">
        <v>16356.0</v>
      </c>
      <c r="I291" s="3" t="s">
        <v>37</v>
      </c>
      <c r="J291" s="3">
        <v>0.1</v>
      </c>
      <c r="K291" s="3">
        <v>17000.0</v>
      </c>
      <c r="L291" s="3" t="s">
        <v>68</v>
      </c>
      <c r="M291" s="3" t="str">
        <f t="shared" si="1"/>
        <v>Below Target</v>
      </c>
      <c r="N291" s="10">
        <f t="shared" si="2"/>
        <v>0.529494382</v>
      </c>
      <c r="O291" s="11">
        <f t="shared" si="3"/>
        <v>0.1</v>
      </c>
      <c r="P291" s="12">
        <f t="shared" si="4"/>
        <v>14720.4</v>
      </c>
    </row>
    <row r="292" ht="12.75" customHeight="1">
      <c r="A292" s="3" t="s">
        <v>584</v>
      </c>
      <c r="B292" s="3" t="s">
        <v>385</v>
      </c>
      <c r="C292" s="3" t="s">
        <v>18</v>
      </c>
      <c r="D292" s="3" t="s">
        <v>16</v>
      </c>
      <c r="E292" s="3" t="s">
        <v>20</v>
      </c>
      <c r="F292" s="3" t="s">
        <v>21</v>
      </c>
      <c r="G292" s="3" t="s">
        <v>11</v>
      </c>
      <c r="H292" s="3">
        <v>15961.0</v>
      </c>
      <c r="I292" s="3" t="s">
        <v>42</v>
      </c>
      <c r="K292" s="3">
        <v>14000.0</v>
      </c>
      <c r="L292" s="15" t="s">
        <v>352</v>
      </c>
      <c r="M292" s="3" t="str">
        <f t="shared" si="1"/>
        <v>Target Achieved</v>
      </c>
      <c r="N292" s="10">
        <f t="shared" si="2"/>
        <v>0.5302390999</v>
      </c>
      <c r="O292" s="11" t="str">
        <f t="shared" si="3"/>
        <v/>
      </c>
      <c r="P292" s="12">
        <f t="shared" si="4"/>
        <v>13566.85</v>
      </c>
    </row>
    <row r="293" ht="12.75" customHeight="1">
      <c r="A293" s="3" t="s">
        <v>585</v>
      </c>
      <c r="B293" s="3" t="s">
        <v>278</v>
      </c>
      <c r="C293" s="3" t="s">
        <v>18</v>
      </c>
      <c r="D293" s="3" t="s">
        <v>16</v>
      </c>
      <c r="E293" s="3" t="s">
        <v>20</v>
      </c>
      <c r="F293" s="3" t="s">
        <v>21</v>
      </c>
      <c r="G293" s="3" t="s">
        <v>13</v>
      </c>
      <c r="H293" s="3">
        <v>14147.0</v>
      </c>
      <c r="I293" s="3" t="s">
        <v>42</v>
      </c>
      <c r="K293" s="3">
        <v>14000.0</v>
      </c>
      <c r="L293" s="3" t="s">
        <v>324</v>
      </c>
      <c r="M293" s="3" t="str">
        <f t="shared" si="1"/>
        <v>Target Achieved</v>
      </c>
      <c r="N293" s="10">
        <f t="shared" si="2"/>
        <v>0.5295774648</v>
      </c>
      <c r="O293" s="11" t="str">
        <f t="shared" si="3"/>
        <v/>
      </c>
      <c r="P293" s="12">
        <f t="shared" si="4"/>
        <v>12024.95</v>
      </c>
    </row>
    <row r="294" ht="12.75" customHeight="1">
      <c r="A294" s="3" t="s">
        <v>586</v>
      </c>
      <c r="B294" s="3" t="s">
        <v>587</v>
      </c>
      <c r="C294" s="3" t="s">
        <v>57</v>
      </c>
      <c r="D294" s="3" t="s">
        <v>19</v>
      </c>
      <c r="E294" s="3" t="s">
        <v>20</v>
      </c>
      <c r="F294" s="3" t="s">
        <v>41</v>
      </c>
      <c r="G294" s="3" t="s">
        <v>13</v>
      </c>
      <c r="H294" s="3">
        <v>13345.0</v>
      </c>
      <c r="I294" s="3" t="s">
        <v>37</v>
      </c>
      <c r="J294" s="3">
        <v>0.1</v>
      </c>
      <c r="K294" s="3">
        <v>13000.0</v>
      </c>
      <c r="L294" s="3" t="s">
        <v>164</v>
      </c>
      <c r="M294" s="3" t="str">
        <f t="shared" si="1"/>
        <v>Target Achieved</v>
      </c>
      <c r="N294" s="10">
        <f t="shared" si="2"/>
        <v>0.5289139633</v>
      </c>
      <c r="O294" s="11">
        <f t="shared" si="3"/>
        <v>0.1</v>
      </c>
      <c r="P294" s="12">
        <f t="shared" si="4"/>
        <v>12010.5</v>
      </c>
    </row>
    <row r="295" ht="12.75" customHeight="1">
      <c r="A295" s="3" t="s">
        <v>588</v>
      </c>
      <c r="B295" s="3" t="s">
        <v>589</v>
      </c>
      <c r="C295" s="3" t="s">
        <v>45</v>
      </c>
      <c r="D295" s="3" t="s">
        <v>22</v>
      </c>
      <c r="E295" s="3" t="s">
        <v>58</v>
      </c>
      <c r="F295" s="3" t="s">
        <v>41</v>
      </c>
      <c r="G295" s="3" t="s">
        <v>11</v>
      </c>
      <c r="H295" s="3">
        <v>17828.0</v>
      </c>
      <c r="I295" s="3" t="s">
        <v>23</v>
      </c>
      <c r="J295" s="3">
        <v>0.2</v>
      </c>
      <c r="K295" s="3">
        <v>17000.0</v>
      </c>
      <c r="L295" s="3" t="s">
        <v>68</v>
      </c>
      <c r="M295" s="3" t="str">
        <f t="shared" si="1"/>
        <v>Target Achieved</v>
      </c>
      <c r="N295" s="10">
        <f t="shared" si="2"/>
        <v>0.5282485876</v>
      </c>
      <c r="O295" s="11">
        <f t="shared" si="3"/>
        <v>0.2</v>
      </c>
      <c r="P295" s="12">
        <f t="shared" si="4"/>
        <v>14262.4</v>
      </c>
    </row>
    <row r="296" ht="12.75" customHeight="1">
      <c r="A296" s="3" t="s">
        <v>590</v>
      </c>
      <c r="B296" s="3" t="s">
        <v>108</v>
      </c>
      <c r="C296" s="3" t="s">
        <v>76</v>
      </c>
      <c r="D296" s="3" t="s">
        <v>24</v>
      </c>
      <c r="E296" s="3" t="s">
        <v>20</v>
      </c>
      <c r="F296" s="3" t="s">
        <v>52</v>
      </c>
      <c r="G296" s="3" t="s">
        <v>13</v>
      </c>
      <c r="H296" s="3">
        <v>9890.0</v>
      </c>
      <c r="I296" s="3" t="s">
        <v>23</v>
      </c>
      <c r="J296" s="3">
        <v>0.2</v>
      </c>
      <c r="K296" s="3">
        <v>9000.0</v>
      </c>
      <c r="L296" s="15" t="s">
        <v>344</v>
      </c>
      <c r="M296" s="3" t="str">
        <f t="shared" si="1"/>
        <v>Target Achieved</v>
      </c>
      <c r="N296" s="10">
        <f t="shared" si="2"/>
        <v>0.5275813296</v>
      </c>
      <c r="O296" s="11">
        <f t="shared" si="3"/>
        <v>0.2</v>
      </c>
      <c r="P296" s="12">
        <f t="shared" si="4"/>
        <v>7912</v>
      </c>
    </row>
    <row r="297" ht="12.75" customHeight="1">
      <c r="A297" s="3" t="s">
        <v>591</v>
      </c>
      <c r="B297" s="3" t="s">
        <v>40</v>
      </c>
      <c r="C297" s="3" t="s">
        <v>45</v>
      </c>
      <c r="D297" s="3" t="s">
        <v>22</v>
      </c>
      <c r="E297" s="3" t="s">
        <v>20</v>
      </c>
      <c r="F297" s="3" t="s">
        <v>21</v>
      </c>
      <c r="G297" s="3" t="s">
        <v>12</v>
      </c>
      <c r="H297" s="3">
        <v>16543.0</v>
      </c>
      <c r="I297" s="3" t="s">
        <v>47</v>
      </c>
      <c r="J297" s="3">
        <v>0.3</v>
      </c>
      <c r="K297" s="3">
        <v>17000.0</v>
      </c>
      <c r="L297" s="15" t="s">
        <v>316</v>
      </c>
      <c r="M297" s="3" t="str">
        <f t="shared" si="1"/>
        <v>Below Target</v>
      </c>
      <c r="N297" s="10">
        <f t="shared" si="2"/>
        <v>0.5269121813</v>
      </c>
      <c r="O297" s="11">
        <f t="shared" si="3"/>
        <v>0.3</v>
      </c>
      <c r="P297" s="12">
        <f t="shared" si="4"/>
        <v>11580.1</v>
      </c>
    </row>
    <row r="298" ht="12.75" customHeight="1">
      <c r="A298" s="3" t="s">
        <v>592</v>
      </c>
      <c r="B298" s="3" t="s">
        <v>427</v>
      </c>
      <c r="C298" s="3" t="s">
        <v>45</v>
      </c>
      <c r="D298" s="3" t="s">
        <v>22</v>
      </c>
      <c r="E298" s="3" t="s">
        <v>20</v>
      </c>
      <c r="F298" s="3" t="s">
        <v>21</v>
      </c>
      <c r="G298" s="3" t="s">
        <v>12</v>
      </c>
      <c r="H298" s="3">
        <v>18162.0</v>
      </c>
      <c r="I298" s="3" t="s">
        <v>47</v>
      </c>
      <c r="J298" s="3">
        <v>0.3</v>
      </c>
      <c r="K298" s="3">
        <v>17000.0</v>
      </c>
      <c r="L298" s="15" t="s">
        <v>322</v>
      </c>
      <c r="M298" s="3" t="str">
        <f t="shared" si="1"/>
        <v>Target Achieved</v>
      </c>
      <c r="N298" s="10">
        <f t="shared" si="2"/>
        <v>0.5276595745</v>
      </c>
      <c r="O298" s="11">
        <f t="shared" si="3"/>
        <v>0.3</v>
      </c>
      <c r="P298" s="12">
        <f t="shared" si="4"/>
        <v>12713.4</v>
      </c>
    </row>
    <row r="299" ht="12.75" customHeight="1">
      <c r="A299" s="3" t="s">
        <v>593</v>
      </c>
      <c r="B299" s="3" t="s">
        <v>266</v>
      </c>
      <c r="C299" s="3" t="s">
        <v>57</v>
      </c>
      <c r="D299" s="3" t="s">
        <v>19</v>
      </c>
      <c r="E299" s="3" t="s">
        <v>58</v>
      </c>
      <c r="F299" s="3" t="s">
        <v>52</v>
      </c>
      <c r="G299" s="3" t="s">
        <v>11</v>
      </c>
      <c r="H299" s="3">
        <v>11921.0</v>
      </c>
      <c r="I299" s="3" t="s">
        <v>47</v>
      </c>
      <c r="J299" s="3">
        <v>0.3</v>
      </c>
      <c r="K299" s="3">
        <v>13000.0</v>
      </c>
      <c r="L299" s="3" t="s">
        <v>324</v>
      </c>
      <c r="M299" s="3" t="str">
        <f t="shared" si="1"/>
        <v>Below Target</v>
      </c>
      <c r="N299" s="10">
        <f t="shared" si="2"/>
        <v>0.5269886364</v>
      </c>
      <c r="O299" s="11">
        <f t="shared" si="3"/>
        <v>0.3</v>
      </c>
      <c r="P299" s="12">
        <f t="shared" si="4"/>
        <v>8344.7</v>
      </c>
    </row>
    <row r="300" ht="12.75" customHeight="1">
      <c r="A300" s="3" t="s">
        <v>594</v>
      </c>
      <c r="B300" s="3" t="s">
        <v>448</v>
      </c>
      <c r="C300" s="3" t="s">
        <v>57</v>
      </c>
      <c r="D300" s="3" t="s">
        <v>19</v>
      </c>
      <c r="E300" s="3" t="s">
        <v>20</v>
      </c>
      <c r="F300" s="3" t="s">
        <v>52</v>
      </c>
      <c r="G300" s="3" t="s">
        <v>11</v>
      </c>
      <c r="H300" s="3">
        <v>12298.0</v>
      </c>
      <c r="K300" s="3">
        <v>13000.0</v>
      </c>
      <c r="L300" s="3" t="s">
        <v>334</v>
      </c>
      <c r="M300" s="3" t="str">
        <f t="shared" si="1"/>
        <v>Below Target</v>
      </c>
      <c r="N300" s="10">
        <f t="shared" si="2"/>
        <v>0.5277382646</v>
      </c>
      <c r="O300" s="11">
        <f t="shared" si="3"/>
        <v>0</v>
      </c>
      <c r="P300" s="12">
        <f t="shared" si="4"/>
        <v>12298</v>
      </c>
    </row>
    <row r="301" ht="12.75" customHeight="1">
      <c r="A301" s="3" t="s">
        <v>595</v>
      </c>
      <c r="B301" s="3" t="s">
        <v>108</v>
      </c>
      <c r="C301" s="3" t="s">
        <v>45</v>
      </c>
      <c r="D301" s="3" t="s">
        <v>22</v>
      </c>
      <c r="E301" s="3" t="s">
        <v>58</v>
      </c>
      <c r="F301" s="3" t="s">
        <v>41</v>
      </c>
      <c r="G301" s="3" t="s">
        <v>12</v>
      </c>
      <c r="H301" s="3">
        <v>17771.0</v>
      </c>
      <c r="I301" s="3" t="s">
        <v>42</v>
      </c>
      <c r="K301" s="3">
        <v>17000.0</v>
      </c>
      <c r="L301" s="3" t="s">
        <v>88</v>
      </c>
      <c r="M301" s="3" t="str">
        <f t="shared" si="1"/>
        <v>Target Achieved</v>
      </c>
      <c r="N301" s="10">
        <f t="shared" si="2"/>
        <v>0.5284900285</v>
      </c>
      <c r="O301" s="11" t="str">
        <f t="shared" si="3"/>
        <v/>
      </c>
      <c r="P301" s="12">
        <f t="shared" si="4"/>
        <v>15105.35</v>
      </c>
    </row>
    <row r="302" ht="12.75" customHeight="1">
      <c r="A302" s="3" t="s">
        <v>596</v>
      </c>
      <c r="B302" s="3" t="s">
        <v>176</v>
      </c>
      <c r="C302" s="3" t="s">
        <v>45</v>
      </c>
      <c r="D302" s="3" t="s">
        <v>22</v>
      </c>
      <c r="E302" s="3" t="s">
        <v>46</v>
      </c>
      <c r="F302" s="3" t="s">
        <v>21</v>
      </c>
      <c r="G302" s="3" t="s">
        <v>13</v>
      </c>
      <c r="H302" s="3">
        <v>16178.0</v>
      </c>
      <c r="I302" s="3" t="s">
        <v>37</v>
      </c>
      <c r="J302" s="3">
        <v>0.1</v>
      </c>
      <c r="K302" s="3">
        <v>17000.0</v>
      </c>
      <c r="L302" s="3" t="s">
        <v>334</v>
      </c>
      <c r="M302" s="3" t="str">
        <f t="shared" si="1"/>
        <v>Below Target</v>
      </c>
      <c r="N302" s="10">
        <f t="shared" si="2"/>
        <v>0.5278174037</v>
      </c>
      <c r="O302" s="11">
        <f t="shared" si="3"/>
        <v>0.1</v>
      </c>
      <c r="P302" s="12">
        <f t="shared" si="4"/>
        <v>14560.2</v>
      </c>
    </row>
    <row r="303" ht="12.75" customHeight="1">
      <c r="A303" s="3" t="s">
        <v>597</v>
      </c>
      <c r="B303" s="3" t="s">
        <v>545</v>
      </c>
      <c r="C303" s="3" t="s">
        <v>45</v>
      </c>
      <c r="D303" s="3" t="s">
        <v>22</v>
      </c>
      <c r="E303" s="3" t="s">
        <v>20</v>
      </c>
      <c r="F303" s="3" t="s">
        <v>21</v>
      </c>
      <c r="G303" s="3" t="s">
        <v>13</v>
      </c>
      <c r="H303" s="3">
        <v>15827.0</v>
      </c>
      <c r="I303" s="3" t="s">
        <v>42</v>
      </c>
      <c r="K303" s="3">
        <v>17000.0</v>
      </c>
      <c r="L303" s="3" t="s">
        <v>73</v>
      </c>
      <c r="M303" s="3" t="str">
        <f t="shared" si="1"/>
        <v>Below Target</v>
      </c>
      <c r="N303" s="10">
        <f t="shared" si="2"/>
        <v>0.5285714286</v>
      </c>
      <c r="O303" s="11" t="str">
        <f t="shared" si="3"/>
        <v/>
      </c>
      <c r="P303" s="12">
        <f t="shared" si="4"/>
        <v>13452.95</v>
      </c>
    </row>
    <row r="304" ht="12.75" customHeight="1">
      <c r="A304" s="3" t="s">
        <v>598</v>
      </c>
      <c r="B304" s="3" t="s">
        <v>111</v>
      </c>
      <c r="C304" s="3" t="s">
        <v>45</v>
      </c>
      <c r="D304" s="3" t="s">
        <v>22</v>
      </c>
      <c r="E304" s="3" t="s">
        <v>46</v>
      </c>
      <c r="F304" s="3" t="s">
        <v>41</v>
      </c>
      <c r="G304" s="3" t="s">
        <v>12</v>
      </c>
      <c r="H304" s="3">
        <v>18034.0</v>
      </c>
      <c r="I304" s="3" t="s">
        <v>42</v>
      </c>
      <c r="K304" s="3">
        <v>17000.0</v>
      </c>
      <c r="L304" s="3" t="s">
        <v>245</v>
      </c>
      <c r="M304" s="3" t="str">
        <f t="shared" si="1"/>
        <v>Target Achieved</v>
      </c>
      <c r="N304" s="10">
        <f t="shared" si="2"/>
        <v>0.5293276109</v>
      </c>
      <c r="O304" s="11" t="str">
        <f t="shared" si="3"/>
        <v/>
      </c>
      <c r="P304" s="12">
        <f t="shared" si="4"/>
        <v>15328.9</v>
      </c>
    </row>
    <row r="305" ht="12.75" customHeight="1">
      <c r="A305" s="3" t="s">
        <v>599</v>
      </c>
      <c r="B305" s="3" t="s">
        <v>600</v>
      </c>
      <c r="C305" s="3" t="s">
        <v>57</v>
      </c>
      <c r="D305" s="3" t="s">
        <v>19</v>
      </c>
      <c r="E305" s="3" t="s">
        <v>20</v>
      </c>
      <c r="F305" s="3" t="s">
        <v>41</v>
      </c>
      <c r="G305" s="3" t="s">
        <v>13</v>
      </c>
      <c r="H305" s="3">
        <v>11410.0</v>
      </c>
      <c r="K305" s="3">
        <v>13000.0</v>
      </c>
      <c r="L305" s="3" t="s">
        <v>332</v>
      </c>
      <c r="M305" s="3" t="str">
        <f t="shared" si="1"/>
        <v>Below Target</v>
      </c>
      <c r="N305" s="10">
        <f t="shared" si="2"/>
        <v>0.5286532951</v>
      </c>
      <c r="O305" s="11">
        <f t="shared" si="3"/>
        <v>0</v>
      </c>
      <c r="P305" s="12">
        <f t="shared" si="4"/>
        <v>11410</v>
      </c>
    </row>
    <row r="306" ht="12.75" customHeight="1">
      <c r="A306" s="3" t="s">
        <v>601</v>
      </c>
      <c r="B306" s="3" t="s">
        <v>431</v>
      </c>
      <c r="C306" s="3" t="s">
        <v>18</v>
      </c>
      <c r="D306" s="3" t="s">
        <v>16</v>
      </c>
      <c r="E306" s="3" t="s">
        <v>20</v>
      </c>
      <c r="F306" s="3" t="s">
        <v>41</v>
      </c>
      <c r="G306" s="3" t="s">
        <v>13</v>
      </c>
      <c r="H306" s="3">
        <v>15950.0</v>
      </c>
      <c r="I306" s="3" t="s">
        <v>42</v>
      </c>
      <c r="K306" s="3">
        <v>14000.0</v>
      </c>
      <c r="L306" s="3" t="s">
        <v>80</v>
      </c>
      <c r="M306" s="3" t="str">
        <f t="shared" si="1"/>
        <v>Target Achieved</v>
      </c>
      <c r="N306" s="10">
        <f t="shared" si="2"/>
        <v>0.5294117647</v>
      </c>
      <c r="O306" s="11" t="str">
        <f t="shared" si="3"/>
        <v/>
      </c>
      <c r="P306" s="12">
        <f t="shared" si="4"/>
        <v>13557.5</v>
      </c>
    </row>
    <row r="307" ht="12.75" customHeight="1">
      <c r="A307" s="3" t="s">
        <v>602</v>
      </c>
      <c r="B307" s="3" t="s">
        <v>463</v>
      </c>
      <c r="C307" s="3" t="s">
        <v>76</v>
      </c>
      <c r="D307" s="3" t="s">
        <v>24</v>
      </c>
      <c r="E307" s="3" t="s">
        <v>58</v>
      </c>
      <c r="F307" s="3" t="s">
        <v>52</v>
      </c>
      <c r="G307" s="3" t="s">
        <v>13</v>
      </c>
      <c r="H307" s="3">
        <v>10096.0</v>
      </c>
      <c r="I307" s="3" t="s">
        <v>47</v>
      </c>
      <c r="J307" s="3">
        <v>0.3</v>
      </c>
      <c r="K307" s="3">
        <v>9000.0</v>
      </c>
      <c r="L307" s="3" t="s">
        <v>303</v>
      </c>
      <c r="M307" s="3" t="str">
        <f t="shared" si="1"/>
        <v>Target Achieved</v>
      </c>
      <c r="N307" s="10">
        <f t="shared" si="2"/>
        <v>0.5287356322</v>
      </c>
      <c r="O307" s="11">
        <f t="shared" si="3"/>
        <v>0.3</v>
      </c>
      <c r="P307" s="12">
        <f t="shared" si="4"/>
        <v>7067.2</v>
      </c>
    </row>
    <row r="308" ht="12.75" customHeight="1">
      <c r="A308" s="3" t="s">
        <v>603</v>
      </c>
      <c r="B308" s="3" t="s">
        <v>379</v>
      </c>
      <c r="C308" s="3" t="s">
        <v>18</v>
      </c>
      <c r="D308" s="3" t="s">
        <v>16</v>
      </c>
      <c r="E308" s="3" t="s">
        <v>46</v>
      </c>
      <c r="F308" s="3" t="s">
        <v>52</v>
      </c>
      <c r="G308" s="3" t="s">
        <v>12</v>
      </c>
      <c r="H308" s="3">
        <v>12951.0</v>
      </c>
      <c r="I308" s="3" t="s">
        <v>42</v>
      </c>
      <c r="K308" s="3">
        <v>14000.0</v>
      </c>
      <c r="L308" s="3" t="s">
        <v>38</v>
      </c>
      <c r="M308" s="3" t="str">
        <f t="shared" si="1"/>
        <v>Below Target</v>
      </c>
      <c r="N308" s="10">
        <f t="shared" si="2"/>
        <v>0.528057554</v>
      </c>
      <c r="O308" s="11" t="str">
        <f t="shared" si="3"/>
        <v/>
      </c>
      <c r="P308" s="12">
        <f t="shared" si="4"/>
        <v>11008.35</v>
      </c>
    </row>
    <row r="309" ht="12.75" customHeight="1">
      <c r="A309" s="3" t="s">
        <v>604</v>
      </c>
      <c r="B309" s="3" t="s">
        <v>471</v>
      </c>
      <c r="C309" s="3" t="s">
        <v>18</v>
      </c>
      <c r="D309" s="3" t="s">
        <v>16</v>
      </c>
      <c r="E309" s="3" t="s">
        <v>46</v>
      </c>
      <c r="F309" s="3" t="s">
        <v>21</v>
      </c>
      <c r="G309" s="3" t="s">
        <v>13</v>
      </c>
      <c r="H309" s="3">
        <v>15825.0</v>
      </c>
      <c r="I309" s="3" t="s">
        <v>37</v>
      </c>
      <c r="J309" s="3">
        <v>0.1</v>
      </c>
      <c r="K309" s="3">
        <v>14000.0</v>
      </c>
      <c r="L309" s="3" t="s">
        <v>106</v>
      </c>
      <c r="M309" s="3" t="str">
        <f t="shared" si="1"/>
        <v>Target Achieved</v>
      </c>
      <c r="N309" s="10">
        <f t="shared" si="2"/>
        <v>0.5288184438</v>
      </c>
      <c r="O309" s="11">
        <f t="shared" si="3"/>
        <v>0.1</v>
      </c>
      <c r="P309" s="12">
        <f t="shared" si="4"/>
        <v>14242.5</v>
      </c>
    </row>
    <row r="310" ht="12.75" customHeight="1">
      <c r="A310" s="3" t="s">
        <v>605</v>
      </c>
      <c r="B310" s="3" t="s">
        <v>197</v>
      </c>
      <c r="C310" s="3" t="s">
        <v>76</v>
      </c>
      <c r="D310" s="3" t="s">
        <v>24</v>
      </c>
      <c r="E310" s="3" t="s">
        <v>46</v>
      </c>
      <c r="F310" s="3" t="s">
        <v>52</v>
      </c>
      <c r="G310" s="3" t="s">
        <v>11</v>
      </c>
      <c r="H310" s="3">
        <v>10591.0</v>
      </c>
      <c r="I310" s="3" t="s">
        <v>37</v>
      </c>
      <c r="J310" s="3">
        <v>0.1</v>
      </c>
      <c r="K310" s="3">
        <v>9000.0</v>
      </c>
      <c r="L310" s="15" t="s">
        <v>308</v>
      </c>
      <c r="M310" s="3" t="str">
        <f t="shared" si="1"/>
        <v>Target Achieved</v>
      </c>
      <c r="N310" s="10">
        <f t="shared" si="2"/>
        <v>0.5281385281</v>
      </c>
      <c r="O310" s="11">
        <f t="shared" si="3"/>
        <v>0.1</v>
      </c>
      <c r="P310" s="12">
        <f t="shared" si="4"/>
        <v>9531.9</v>
      </c>
    </row>
    <row r="311" ht="12.75" customHeight="1">
      <c r="A311" s="3" t="s">
        <v>606</v>
      </c>
      <c r="B311" s="3" t="s">
        <v>154</v>
      </c>
      <c r="C311" s="3" t="s">
        <v>18</v>
      </c>
      <c r="D311" s="3" t="s">
        <v>16</v>
      </c>
      <c r="E311" s="3" t="s">
        <v>58</v>
      </c>
      <c r="F311" s="3" t="s">
        <v>21</v>
      </c>
      <c r="G311" s="3" t="s">
        <v>11</v>
      </c>
      <c r="H311" s="3">
        <v>14626.0</v>
      </c>
      <c r="I311" s="3" t="s">
        <v>42</v>
      </c>
      <c r="K311" s="3">
        <v>14000.0</v>
      </c>
      <c r="L311" s="15" t="s">
        <v>344</v>
      </c>
      <c r="M311" s="3" t="str">
        <f t="shared" si="1"/>
        <v>Target Achieved</v>
      </c>
      <c r="N311" s="10">
        <f t="shared" si="2"/>
        <v>0.5274566474</v>
      </c>
      <c r="O311" s="11" t="str">
        <f t="shared" si="3"/>
        <v/>
      </c>
      <c r="P311" s="12">
        <f t="shared" si="4"/>
        <v>12432.1</v>
      </c>
    </row>
    <row r="312" ht="12.75" customHeight="1">
      <c r="A312" s="3" t="s">
        <v>607</v>
      </c>
      <c r="B312" s="3" t="s">
        <v>608</v>
      </c>
      <c r="C312" s="3" t="s">
        <v>76</v>
      </c>
      <c r="D312" s="3" t="s">
        <v>24</v>
      </c>
      <c r="E312" s="3" t="s">
        <v>58</v>
      </c>
      <c r="F312" s="3" t="s">
        <v>41</v>
      </c>
      <c r="G312" s="3" t="s">
        <v>13</v>
      </c>
      <c r="H312" s="3">
        <v>8354.0</v>
      </c>
      <c r="I312" s="3" t="s">
        <v>23</v>
      </c>
      <c r="J312" s="3">
        <v>0.2</v>
      </c>
      <c r="K312" s="3">
        <v>9000.0</v>
      </c>
      <c r="L312" s="3" t="s">
        <v>319</v>
      </c>
      <c r="M312" s="3" t="str">
        <f t="shared" si="1"/>
        <v>Below Target</v>
      </c>
      <c r="N312" s="10">
        <f t="shared" si="2"/>
        <v>0.5267727931</v>
      </c>
      <c r="O312" s="11">
        <f t="shared" si="3"/>
        <v>0.2</v>
      </c>
      <c r="P312" s="12">
        <f t="shared" si="4"/>
        <v>6683.2</v>
      </c>
    </row>
    <row r="313" ht="12.75" customHeight="1">
      <c r="A313" s="3" t="s">
        <v>609</v>
      </c>
      <c r="B313" s="3" t="s">
        <v>429</v>
      </c>
      <c r="C313" s="3" t="s">
        <v>45</v>
      </c>
      <c r="D313" s="3" t="s">
        <v>22</v>
      </c>
      <c r="E313" s="3" t="s">
        <v>20</v>
      </c>
      <c r="F313" s="3" t="s">
        <v>41</v>
      </c>
      <c r="G313" s="3" t="s">
        <v>13</v>
      </c>
      <c r="H313" s="3">
        <v>18017.0</v>
      </c>
      <c r="I313" s="3" t="s">
        <v>47</v>
      </c>
      <c r="J313" s="3">
        <v>0.3</v>
      </c>
      <c r="K313" s="3">
        <v>17000.0</v>
      </c>
      <c r="L313" s="3" t="s">
        <v>328</v>
      </c>
      <c r="M313" s="3" t="str">
        <f t="shared" si="1"/>
        <v>Target Achieved</v>
      </c>
      <c r="N313" s="10">
        <f t="shared" si="2"/>
        <v>0.5275362319</v>
      </c>
      <c r="O313" s="11">
        <f t="shared" si="3"/>
        <v>0.3</v>
      </c>
      <c r="P313" s="12">
        <f t="shared" si="4"/>
        <v>12611.9</v>
      </c>
    </row>
    <row r="314" ht="12.75" customHeight="1">
      <c r="A314" s="3" t="s">
        <v>610</v>
      </c>
      <c r="B314" s="3" t="s">
        <v>154</v>
      </c>
      <c r="C314" s="3" t="s">
        <v>57</v>
      </c>
      <c r="D314" s="3" t="s">
        <v>19</v>
      </c>
      <c r="E314" s="3" t="s">
        <v>46</v>
      </c>
      <c r="F314" s="3" t="s">
        <v>52</v>
      </c>
      <c r="G314" s="3" t="s">
        <v>12</v>
      </c>
      <c r="H314" s="3">
        <v>14674.0</v>
      </c>
      <c r="K314" s="3">
        <v>13000.0</v>
      </c>
      <c r="L314" s="3" t="s">
        <v>333</v>
      </c>
      <c r="M314" s="3" t="str">
        <f t="shared" si="1"/>
        <v>Target Achieved</v>
      </c>
      <c r="N314" s="10">
        <f t="shared" si="2"/>
        <v>0.526850508</v>
      </c>
      <c r="O314" s="11">
        <f t="shared" si="3"/>
        <v>0</v>
      </c>
      <c r="P314" s="12">
        <f t="shared" si="4"/>
        <v>14674</v>
      </c>
    </row>
    <row r="315" ht="12.75" customHeight="1">
      <c r="A315" s="3" t="s">
        <v>611</v>
      </c>
      <c r="B315" s="3" t="s">
        <v>612</v>
      </c>
      <c r="C315" s="3" t="s">
        <v>45</v>
      </c>
      <c r="D315" s="3" t="s">
        <v>22</v>
      </c>
      <c r="E315" s="3" t="s">
        <v>46</v>
      </c>
      <c r="F315" s="3" t="s">
        <v>21</v>
      </c>
      <c r="G315" s="3" t="s">
        <v>12</v>
      </c>
      <c r="H315" s="3">
        <v>15390.0</v>
      </c>
      <c r="I315" s="3" t="s">
        <v>23</v>
      </c>
      <c r="J315" s="3">
        <v>0.2</v>
      </c>
      <c r="K315" s="3">
        <v>17000.0</v>
      </c>
      <c r="L315" s="15" t="s">
        <v>353</v>
      </c>
      <c r="M315" s="3" t="str">
        <f t="shared" si="1"/>
        <v>Below Target</v>
      </c>
      <c r="N315" s="10">
        <f t="shared" si="2"/>
        <v>0.5261627907</v>
      </c>
      <c r="O315" s="11">
        <f t="shared" si="3"/>
        <v>0.2</v>
      </c>
      <c r="P315" s="12">
        <f t="shared" si="4"/>
        <v>12312</v>
      </c>
    </row>
    <row r="316" ht="12.75" customHeight="1">
      <c r="A316" s="3" t="s">
        <v>613</v>
      </c>
      <c r="B316" s="3" t="s">
        <v>240</v>
      </c>
      <c r="C316" s="3" t="s">
        <v>57</v>
      </c>
      <c r="D316" s="3" t="s">
        <v>19</v>
      </c>
      <c r="E316" s="3" t="s">
        <v>46</v>
      </c>
      <c r="F316" s="3" t="s">
        <v>21</v>
      </c>
      <c r="G316" s="3" t="s">
        <v>11</v>
      </c>
      <c r="H316" s="3">
        <v>11964.0</v>
      </c>
      <c r="K316" s="3">
        <v>13000.0</v>
      </c>
      <c r="L316" s="3" t="s">
        <v>323</v>
      </c>
      <c r="M316" s="3" t="str">
        <f t="shared" si="1"/>
        <v>Below Target</v>
      </c>
      <c r="N316" s="10">
        <f t="shared" si="2"/>
        <v>0.5269286754</v>
      </c>
      <c r="O316" s="11">
        <f t="shared" si="3"/>
        <v>0</v>
      </c>
      <c r="P316" s="12">
        <f t="shared" si="4"/>
        <v>11964</v>
      </c>
    </row>
    <row r="317" ht="12.75" customHeight="1">
      <c r="A317" s="3" t="s">
        <v>614</v>
      </c>
      <c r="B317" s="3" t="s">
        <v>170</v>
      </c>
      <c r="C317" s="3" t="s">
        <v>45</v>
      </c>
      <c r="D317" s="3" t="s">
        <v>22</v>
      </c>
      <c r="E317" s="3" t="s">
        <v>20</v>
      </c>
      <c r="F317" s="3" t="s">
        <v>52</v>
      </c>
      <c r="G317" s="3" t="s">
        <v>12</v>
      </c>
      <c r="H317" s="3">
        <v>15046.0</v>
      </c>
      <c r="I317" s="3" t="s">
        <v>47</v>
      </c>
      <c r="J317" s="3">
        <v>0.3</v>
      </c>
      <c r="K317" s="3">
        <v>17000.0</v>
      </c>
      <c r="L317" s="15" t="s">
        <v>313</v>
      </c>
      <c r="M317" s="3" t="str">
        <f t="shared" si="1"/>
        <v>Below Target</v>
      </c>
      <c r="N317" s="10">
        <f t="shared" si="2"/>
        <v>0.527696793</v>
      </c>
      <c r="O317" s="11">
        <f t="shared" si="3"/>
        <v>0.3</v>
      </c>
      <c r="P317" s="12">
        <f t="shared" si="4"/>
        <v>10532.2</v>
      </c>
    </row>
    <row r="318" ht="12.75" customHeight="1">
      <c r="A318" s="3" t="s">
        <v>615</v>
      </c>
      <c r="B318" s="3" t="s">
        <v>616</v>
      </c>
      <c r="C318" s="3" t="s">
        <v>57</v>
      </c>
      <c r="D318" s="3" t="s">
        <v>19</v>
      </c>
      <c r="E318" s="3" t="s">
        <v>46</v>
      </c>
      <c r="F318" s="3" t="s">
        <v>52</v>
      </c>
      <c r="G318" s="3" t="s">
        <v>13</v>
      </c>
      <c r="H318" s="3">
        <v>12906.0</v>
      </c>
      <c r="I318" s="3" t="s">
        <v>47</v>
      </c>
      <c r="J318" s="3">
        <v>0.3</v>
      </c>
      <c r="K318" s="3">
        <v>13000.0</v>
      </c>
      <c r="L318" s="15" t="s">
        <v>103</v>
      </c>
      <c r="M318" s="3" t="str">
        <f t="shared" si="1"/>
        <v>Below Target</v>
      </c>
      <c r="N318" s="10">
        <f t="shared" si="2"/>
        <v>0.5284671533</v>
      </c>
      <c r="O318" s="11">
        <f t="shared" si="3"/>
        <v>0.3</v>
      </c>
      <c r="P318" s="12">
        <f t="shared" si="4"/>
        <v>9034.2</v>
      </c>
    </row>
    <row r="319" ht="12.75" customHeight="1">
      <c r="A319" s="3" t="s">
        <v>617</v>
      </c>
      <c r="B319" s="3" t="s">
        <v>366</v>
      </c>
      <c r="C319" s="3" t="s">
        <v>45</v>
      </c>
      <c r="D319" s="3" t="s">
        <v>22</v>
      </c>
      <c r="E319" s="3" t="s">
        <v>20</v>
      </c>
      <c r="F319" s="3" t="s">
        <v>41</v>
      </c>
      <c r="G319" s="3" t="s">
        <v>12</v>
      </c>
      <c r="H319" s="3">
        <v>18752.0</v>
      </c>
      <c r="I319" s="3" t="s">
        <v>47</v>
      </c>
      <c r="J319" s="3">
        <v>0.3</v>
      </c>
      <c r="K319" s="3">
        <v>17000.0</v>
      </c>
      <c r="L319" s="3" t="s">
        <v>336</v>
      </c>
      <c r="M319" s="3" t="str">
        <f t="shared" si="1"/>
        <v>Target Achieved</v>
      </c>
      <c r="N319" s="10">
        <f t="shared" si="2"/>
        <v>0.5292397661</v>
      </c>
      <c r="O319" s="11">
        <f t="shared" si="3"/>
        <v>0.3</v>
      </c>
      <c r="P319" s="12">
        <f t="shared" si="4"/>
        <v>13126.4</v>
      </c>
    </row>
    <row r="320" ht="12.75" customHeight="1">
      <c r="A320" s="3" t="s">
        <v>618</v>
      </c>
      <c r="B320" s="3" t="s">
        <v>619</v>
      </c>
      <c r="C320" s="3" t="s">
        <v>57</v>
      </c>
      <c r="D320" s="3" t="s">
        <v>19</v>
      </c>
      <c r="E320" s="3" t="s">
        <v>46</v>
      </c>
      <c r="F320" s="3" t="s">
        <v>21</v>
      </c>
      <c r="G320" s="3" t="s">
        <v>13</v>
      </c>
      <c r="H320" s="3">
        <v>12863.0</v>
      </c>
      <c r="I320" s="3" t="s">
        <v>42</v>
      </c>
      <c r="K320" s="3">
        <v>13000.0</v>
      </c>
      <c r="L320" s="3" t="s">
        <v>336</v>
      </c>
      <c r="M320" s="3" t="str">
        <f t="shared" si="1"/>
        <v>Below Target</v>
      </c>
      <c r="N320" s="10">
        <f t="shared" si="2"/>
        <v>0.5285505124</v>
      </c>
      <c r="O320" s="11" t="str">
        <f t="shared" si="3"/>
        <v/>
      </c>
      <c r="P320" s="12">
        <f t="shared" si="4"/>
        <v>10933.55</v>
      </c>
    </row>
    <row r="321" ht="12.75" customHeight="1">
      <c r="A321" s="3" t="s">
        <v>620</v>
      </c>
      <c r="B321" s="3" t="s">
        <v>134</v>
      </c>
      <c r="C321" s="3" t="s">
        <v>76</v>
      </c>
      <c r="D321" s="3" t="s">
        <v>24</v>
      </c>
      <c r="E321" s="3" t="s">
        <v>20</v>
      </c>
      <c r="F321" s="3" t="s">
        <v>52</v>
      </c>
      <c r="G321" s="3" t="s">
        <v>13</v>
      </c>
      <c r="H321" s="3">
        <v>10120.0</v>
      </c>
      <c r="I321" s="3" t="s">
        <v>23</v>
      </c>
      <c r="J321" s="3">
        <v>0.2</v>
      </c>
      <c r="K321" s="3">
        <v>9000.0</v>
      </c>
      <c r="L321" s="3" t="s">
        <v>238</v>
      </c>
      <c r="M321" s="3" t="str">
        <f t="shared" si="1"/>
        <v>Target Achieved</v>
      </c>
      <c r="N321" s="10">
        <f t="shared" si="2"/>
        <v>0.5293255132</v>
      </c>
      <c r="O321" s="11">
        <f t="shared" si="3"/>
        <v>0.2</v>
      </c>
      <c r="P321" s="12">
        <f t="shared" si="4"/>
        <v>8096</v>
      </c>
    </row>
    <row r="322" ht="12.75" customHeight="1">
      <c r="A322" s="3" t="s">
        <v>621</v>
      </c>
      <c r="B322" s="3" t="s">
        <v>622</v>
      </c>
      <c r="C322" s="3" t="s">
        <v>18</v>
      </c>
      <c r="D322" s="3" t="s">
        <v>16</v>
      </c>
      <c r="E322" s="3" t="s">
        <v>20</v>
      </c>
      <c r="F322" s="3" t="s">
        <v>21</v>
      </c>
      <c r="G322" s="3" t="s">
        <v>12</v>
      </c>
      <c r="H322" s="3">
        <v>14882.0</v>
      </c>
      <c r="I322" s="3" t="s">
        <v>47</v>
      </c>
      <c r="J322" s="3">
        <v>0.3</v>
      </c>
      <c r="K322" s="3">
        <v>14000.0</v>
      </c>
      <c r="L322" s="15" t="s">
        <v>109</v>
      </c>
      <c r="M322" s="3" t="str">
        <f t="shared" si="1"/>
        <v>Target Achieved</v>
      </c>
      <c r="N322" s="10">
        <f t="shared" si="2"/>
        <v>0.5286343612</v>
      </c>
      <c r="O322" s="11">
        <f t="shared" si="3"/>
        <v>0.3</v>
      </c>
      <c r="P322" s="12">
        <f t="shared" si="4"/>
        <v>10417.4</v>
      </c>
    </row>
    <row r="323" ht="12.75" customHeight="1">
      <c r="A323" s="3" t="s">
        <v>623</v>
      </c>
      <c r="B323" s="3" t="s">
        <v>75</v>
      </c>
      <c r="C323" s="3" t="s">
        <v>18</v>
      </c>
      <c r="D323" s="3" t="s">
        <v>16</v>
      </c>
      <c r="E323" s="3" t="s">
        <v>46</v>
      </c>
      <c r="F323" s="3" t="s">
        <v>52</v>
      </c>
      <c r="G323" s="3" t="s">
        <v>12</v>
      </c>
      <c r="H323" s="3">
        <v>12828.0</v>
      </c>
      <c r="I323" s="3" t="s">
        <v>42</v>
      </c>
      <c r="K323" s="3">
        <v>14000.0</v>
      </c>
      <c r="L323" s="15" t="s">
        <v>348</v>
      </c>
      <c r="M323" s="3" t="str">
        <f t="shared" si="1"/>
        <v>Below Target</v>
      </c>
      <c r="N323" s="10">
        <f t="shared" si="2"/>
        <v>0.5279411765</v>
      </c>
      <c r="O323" s="11" t="str">
        <f t="shared" si="3"/>
        <v/>
      </c>
      <c r="P323" s="12">
        <f t="shared" si="4"/>
        <v>10903.8</v>
      </c>
    </row>
    <row r="324" ht="12.75" customHeight="1">
      <c r="A324" s="3" t="s">
        <v>624</v>
      </c>
      <c r="B324" s="3" t="s">
        <v>223</v>
      </c>
      <c r="C324" s="3" t="s">
        <v>45</v>
      </c>
      <c r="D324" s="3" t="s">
        <v>22</v>
      </c>
      <c r="E324" s="3" t="s">
        <v>20</v>
      </c>
      <c r="F324" s="3" t="s">
        <v>21</v>
      </c>
      <c r="G324" s="3" t="s">
        <v>13</v>
      </c>
      <c r="H324" s="3">
        <v>17786.0</v>
      </c>
      <c r="I324" s="3" t="s">
        <v>23</v>
      </c>
      <c r="J324" s="3">
        <v>0.2</v>
      </c>
      <c r="K324" s="3">
        <v>17000.0</v>
      </c>
      <c r="L324" s="3" t="s">
        <v>83</v>
      </c>
      <c r="M324" s="3" t="str">
        <f t="shared" si="1"/>
        <v>Target Achieved</v>
      </c>
      <c r="N324" s="10">
        <f t="shared" si="2"/>
        <v>0.528718704</v>
      </c>
      <c r="O324" s="11">
        <f t="shared" si="3"/>
        <v>0.2</v>
      </c>
      <c r="P324" s="12">
        <f t="shared" si="4"/>
        <v>14228.8</v>
      </c>
    </row>
    <row r="325" ht="12.75" customHeight="1">
      <c r="A325" s="3" t="s">
        <v>625</v>
      </c>
      <c r="B325" s="3" t="s">
        <v>455</v>
      </c>
      <c r="C325" s="3" t="s">
        <v>18</v>
      </c>
      <c r="D325" s="3" t="s">
        <v>16</v>
      </c>
      <c r="E325" s="3" t="s">
        <v>20</v>
      </c>
      <c r="F325" s="3" t="s">
        <v>21</v>
      </c>
      <c r="G325" s="3" t="s">
        <v>13</v>
      </c>
      <c r="H325" s="3">
        <v>13857.0</v>
      </c>
      <c r="I325" s="3" t="s">
        <v>23</v>
      </c>
      <c r="J325" s="3">
        <v>0.2</v>
      </c>
      <c r="K325" s="3">
        <v>14000.0</v>
      </c>
      <c r="L325" s="15" t="s">
        <v>155</v>
      </c>
      <c r="M325" s="3" t="str">
        <f t="shared" si="1"/>
        <v>Below Target</v>
      </c>
      <c r="N325" s="10">
        <f t="shared" si="2"/>
        <v>0.5280235988</v>
      </c>
      <c r="O325" s="11">
        <f t="shared" si="3"/>
        <v>0.2</v>
      </c>
      <c r="P325" s="12">
        <f t="shared" si="4"/>
        <v>11085.6</v>
      </c>
    </row>
    <row r="326" ht="12.75" customHeight="1">
      <c r="A326" s="3" t="s">
        <v>626</v>
      </c>
      <c r="B326" s="3" t="s">
        <v>627</v>
      </c>
      <c r="C326" s="3" t="s">
        <v>18</v>
      </c>
      <c r="D326" s="3" t="s">
        <v>16</v>
      </c>
      <c r="E326" s="3" t="s">
        <v>20</v>
      </c>
      <c r="F326" s="3" t="s">
        <v>21</v>
      </c>
      <c r="G326" s="3" t="s">
        <v>12</v>
      </c>
      <c r="H326" s="3">
        <v>15305.0</v>
      </c>
      <c r="I326" s="3" t="s">
        <v>47</v>
      </c>
      <c r="J326" s="3">
        <v>0.3</v>
      </c>
      <c r="K326" s="3">
        <v>14000.0</v>
      </c>
      <c r="L326" s="3" t="s">
        <v>319</v>
      </c>
      <c r="M326" s="3" t="str">
        <f t="shared" si="1"/>
        <v>Target Achieved</v>
      </c>
      <c r="N326" s="10">
        <f t="shared" si="2"/>
        <v>0.5288035451</v>
      </c>
      <c r="O326" s="11">
        <f t="shared" si="3"/>
        <v>0.3</v>
      </c>
      <c r="P326" s="12">
        <f t="shared" si="4"/>
        <v>10713.5</v>
      </c>
    </row>
    <row r="327" ht="12.75" customHeight="1">
      <c r="A327" s="3" t="s">
        <v>628</v>
      </c>
      <c r="B327" s="3" t="s">
        <v>506</v>
      </c>
      <c r="C327" s="3" t="s">
        <v>45</v>
      </c>
      <c r="D327" s="3" t="s">
        <v>22</v>
      </c>
      <c r="E327" s="3" t="s">
        <v>46</v>
      </c>
      <c r="F327" s="3" t="s">
        <v>52</v>
      </c>
      <c r="G327" s="3" t="s">
        <v>13</v>
      </c>
      <c r="H327" s="3">
        <v>17368.0</v>
      </c>
      <c r="I327" s="3" t="s">
        <v>37</v>
      </c>
      <c r="J327" s="3">
        <v>0.1</v>
      </c>
      <c r="K327" s="3">
        <v>17000.0</v>
      </c>
      <c r="L327" s="15" t="s">
        <v>341</v>
      </c>
      <c r="M327" s="3" t="str">
        <f t="shared" si="1"/>
        <v>Target Achieved</v>
      </c>
      <c r="N327" s="10">
        <f t="shared" si="2"/>
        <v>0.5281065089</v>
      </c>
      <c r="O327" s="11">
        <f t="shared" si="3"/>
        <v>0.1</v>
      </c>
      <c r="P327" s="12">
        <f t="shared" si="4"/>
        <v>15631.2</v>
      </c>
    </row>
    <row r="328" ht="12.75" customHeight="1">
      <c r="A328" s="3" t="s">
        <v>629</v>
      </c>
      <c r="B328" s="3" t="s">
        <v>574</v>
      </c>
      <c r="C328" s="3" t="s">
        <v>18</v>
      </c>
      <c r="D328" s="3" t="s">
        <v>16</v>
      </c>
      <c r="E328" s="3" t="s">
        <v>20</v>
      </c>
      <c r="F328" s="3" t="s">
        <v>41</v>
      </c>
      <c r="G328" s="3" t="s">
        <v>13</v>
      </c>
      <c r="H328" s="3">
        <v>15824.0</v>
      </c>
      <c r="K328" s="3">
        <v>14000.0</v>
      </c>
      <c r="L328" s="15" t="s">
        <v>341</v>
      </c>
      <c r="M328" s="3" t="str">
        <f t="shared" si="1"/>
        <v>Target Achieved</v>
      </c>
      <c r="N328" s="10">
        <f t="shared" si="2"/>
        <v>0.5274074074</v>
      </c>
      <c r="O328" s="11">
        <f t="shared" si="3"/>
        <v>0</v>
      </c>
      <c r="P328" s="12">
        <f t="shared" si="4"/>
        <v>15824</v>
      </c>
    </row>
    <row r="329" ht="12.75" customHeight="1">
      <c r="A329" s="3" t="s">
        <v>630</v>
      </c>
      <c r="B329" s="3" t="s">
        <v>89</v>
      </c>
      <c r="C329" s="3" t="s">
        <v>57</v>
      </c>
      <c r="D329" s="3" t="s">
        <v>19</v>
      </c>
      <c r="E329" s="3" t="s">
        <v>46</v>
      </c>
      <c r="F329" s="3" t="s">
        <v>52</v>
      </c>
      <c r="G329" s="3" t="s">
        <v>12</v>
      </c>
      <c r="H329" s="3">
        <v>13645.0</v>
      </c>
      <c r="K329" s="3">
        <v>13000.0</v>
      </c>
      <c r="L329" s="3" t="s">
        <v>336</v>
      </c>
      <c r="M329" s="3" t="str">
        <f t="shared" si="1"/>
        <v>Target Achieved</v>
      </c>
      <c r="N329" s="10">
        <f t="shared" si="2"/>
        <v>0.5267062315</v>
      </c>
      <c r="O329" s="11">
        <f t="shared" si="3"/>
        <v>0</v>
      </c>
      <c r="P329" s="12">
        <f t="shared" si="4"/>
        <v>13645</v>
      </c>
    </row>
    <row r="330" ht="12.75" customHeight="1">
      <c r="A330" s="3" t="s">
        <v>631</v>
      </c>
      <c r="B330" s="3" t="s">
        <v>176</v>
      </c>
      <c r="C330" s="3" t="s">
        <v>76</v>
      </c>
      <c r="D330" s="3" t="s">
        <v>24</v>
      </c>
      <c r="E330" s="3" t="s">
        <v>58</v>
      </c>
      <c r="F330" s="3" t="s">
        <v>21</v>
      </c>
      <c r="G330" s="3" t="s">
        <v>13</v>
      </c>
      <c r="H330" s="3">
        <v>9796.0</v>
      </c>
      <c r="I330" s="3" t="s">
        <v>42</v>
      </c>
      <c r="K330" s="3">
        <v>9000.0</v>
      </c>
      <c r="L330" s="15" t="s">
        <v>353</v>
      </c>
      <c r="M330" s="3" t="str">
        <f t="shared" si="1"/>
        <v>Target Achieved</v>
      </c>
      <c r="N330" s="10">
        <f t="shared" si="2"/>
        <v>0.5260029718</v>
      </c>
      <c r="O330" s="11" t="str">
        <f t="shared" si="3"/>
        <v/>
      </c>
      <c r="P330" s="12">
        <f t="shared" si="4"/>
        <v>8326.6</v>
      </c>
    </row>
    <row r="331" ht="12.75" customHeight="1">
      <c r="A331" s="3" t="s">
        <v>632</v>
      </c>
      <c r="B331" s="3" t="s">
        <v>257</v>
      </c>
      <c r="C331" s="3" t="s">
        <v>45</v>
      </c>
      <c r="D331" s="3" t="s">
        <v>22</v>
      </c>
      <c r="E331" s="3" t="s">
        <v>46</v>
      </c>
      <c r="F331" s="3" t="s">
        <v>41</v>
      </c>
      <c r="G331" s="3" t="s">
        <v>12</v>
      </c>
      <c r="H331" s="3">
        <v>16609.0</v>
      </c>
      <c r="I331" s="3" t="s">
        <v>42</v>
      </c>
      <c r="K331" s="3">
        <v>17000.0</v>
      </c>
      <c r="L331" s="15" t="s">
        <v>353</v>
      </c>
      <c r="M331" s="3" t="str">
        <f t="shared" si="1"/>
        <v>Below Target</v>
      </c>
      <c r="N331" s="10">
        <f t="shared" si="2"/>
        <v>0.525297619</v>
      </c>
      <c r="O331" s="11" t="str">
        <f t="shared" si="3"/>
        <v/>
      </c>
      <c r="P331" s="12">
        <f t="shared" si="4"/>
        <v>14117.65</v>
      </c>
    </row>
    <row r="332" ht="12.75" customHeight="1">
      <c r="A332" s="3" t="s">
        <v>633</v>
      </c>
      <c r="B332" s="3" t="s">
        <v>497</v>
      </c>
      <c r="C332" s="3" t="s">
        <v>18</v>
      </c>
      <c r="D332" s="3" t="s">
        <v>16</v>
      </c>
      <c r="E332" s="3" t="s">
        <v>46</v>
      </c>
      <c r="F332" s="3" t="s">
        <v>21</v>
      </c>
      <c r="G332" s="3" t="s">
        <v>11</v>
      </c>
      <c r="H332" s="3">
        <v>14758.0</v>
      </c>
      <c r="I332" s="3" t="s">
        <v>42</v>
      </c>
      <c r="K332" s="3">
        <v>14000.0</v>
      </c>
      <c r="L332" s="3" t="s">
        <v>117</v>
      </c>
      <c r="M332" s="3" t="str">
        <f t="shared" si="1"/>
        <v>Target Achieved</v>
      </c>
      <c r="N332" s="10">
        <f t="shared" si="2"/>
        <v>0.5260804769</v>
      </c>
      <c r="O332" s="11" t="str">
        <f t="shared" si="3"/>
        <v/>
      </c>
      <c r="P332" s="12">
        <f t="shared" si="4"/>
        <v>12544.3</v>
      </c>
    </row>
    <row r="333" ht="12.75" customHeight="1">
      <c r="A333" s="3" t="s">
        <v>634</v>
      </c>
      <c r="B333" s="3" t="s">
        <v>488</v>
      </c>
      <c r="C333" s="3" t="s">
        <v>57</v>
      </c>
      <c r="D333" s="3" t="s">
        <v>19</v>
      </c>
      <c r="E333" s="3" t="s">
        <v>46</v>
      </c>
      <c r="F333" s="3" t="s">
        <v>21</v>
      </c>
      <c r="G333" s="3" t="s">
        <v>11</v>
      </c>
      <c r="H333" s="3">
        <v>11635.0</v>
      </c>
      <c r="I333" s="3" t="s">
        <v>47</v>
      </c>
      <c r="J333" s="3">
        <v>0.3</v>
      </c>
      <c r="K333" s="3">
        <v>13000.0</v>
      </c>
      <c r="L333" s="3" t="s">
        <v>164</v>
      </c>
      <c r="M333" s="3" t="str">
        <f t="shared" si="1"/>
        <v>Below Target</v>
      </c>
      <c r="N333" s="10">
        <f t="shared" si="2"/>
        <v>0.5253731343</v>
      </c>
      <c r="O333" s="11">
        <f t="shared" si="3"/>
        <v>0.3</v>
      </c>
      <c r="P333" s="12">
        <f t="shared" si="4"/>
        <v>8144.5</v>
      </c>
    </row>
    <row r="334" ht="12.75" customHeight="1">
      <c r="A334" s="3" t="s">
        <v>635</v>
      </c>
      <c r="B334" s="3" t="s">
        <v>343</v>
      </c>
      <c r="C334" s="3" t="s">
        <v>18</v>
      </c>
      <c r="D334" s="3" t="s">
        <v>16</v>
      </c>
      <c r="E334" s="3" t="s">
        <v>46</v>
      </c>
      <c r="F334" s="3" t="s">
        <v>52</v>
      </c>
      <c r="G334" s="3" t="s">
        <v>11</v>
      </c>
      <c r="H334" s="3">
        <v>14518.0</v>
      </c>
      <c r="I334" s="3" t="s">
        <v>37</v>
      </c>
      <c r="J334" s="3">
        <v>0.1</v>
      </c>
      <c r="K334" s="3">
        <v>14000.0</v>
      </c>
      <c r="L334" s="3" t="s">
        <v>245</v>
      </c>
      <c r="M334" s="3" t="str">
        <f t="shared" si="1"/>
        <v>Target Achieved</v>
      </c>
      <c r="N334" s="10">
        <f t="shared" si="2"/>
        <v>0.5261584454</v>
      </c>
      <c r="O334" s="11">
        <f t="shared" si="3"/>
        <v>0.1</v>
      </c>
      <c r="P334" s="12">
        <f t="shared" si="4"/>
        <v>13066.2</v>
      </c>
    </row>
    <row r="335" ht="12.75" customHeight="1">
      <c r="A335" s="3" t="s">
        <v>636</v>
      </c>
      <c r="B335" s="3" t="s">
        <v>288</v>
      </c>
      <c r="C335" s="3" t="s">
        <v>18</v>
      </c>
      <c r="D335" s="3" t="s">
        <v>16</v>
      </c>
      <c r="E335" s="3" t="s">
        <v>20</v>
      </c>
      <c r="F335" s="3" t="s">
        <v>41</v>
      </c>
      <c r="G335" s="3" t="s">
        <v>11</v>
      </c>
      <c r="H335" s="3">
        <v>14448.0</v>
      </c>
      <c r="I335" s="3" t="s">
        <v>37</v>
      </c>
      <c r="J335" s="3">
        <v>0.1</v>
      </c>
      <c r="K335" s="3">
        <v>14000.0</v>
      </c>
      <c r="L335" s="3" t="s">
        <v>245</v>
      </c>
      <c r="M335" s="3" t="str">
        <f t="shared" si="1"/>
        <v>Target Achieved</v>
      </c>
      <c r="N335" s="10">
        <f t="shared" si="2"/>
        <v>0.5254491018</v>
      </c>
      <c r="O335" s="11">
        <f t="shared" si="3"/>
        <v>0.1</v>
      </c>
      <c r="P335" s="12">
        <f t="shared" si="4"/>
        <v>13003.2</v>
      </c>
    </row>
    <row r="336" ht="12.75" customHeight="1">
      <c r="A336" s="3" t="s">
        <v>637</v>
      </c>
      <c r="B336" s="3" t="s">
        <v>564</v>
      </c>
      <c r="C336" s="3" t="s">
        <v>76</v>
      </c>
      <c r="D336" s="3" t="s">
        <v>24</v>
      </c>
      <c r="E336" s="3" t="s">
        <v>58</v>
      </c>
      <c r="F336" s="3" t="s">
        <v>41</v>
      </c>
      <c r="G336" s="3" t="s">
        <v>12</v>
      </c>
      <c r="H336" s="3">
        <v>7889.0</v>
      </c>
      <c r="I336" s="3" t="s">
        <v>37</v>
      </c>
      <c r="J336" s="3">
        <v>0.1</v>
      </c>
      <c r="K336" s="3">
        <v>9000.0</v>
      </c>
      <c r="L336" s="15" t="s">
        <v>353</v>
      </c>
      <c r="M336" s="3" t="str">
        <f t="shared" si="1"/>
        <v>Below Target</v>
      </c>
      <c r="N336" s="10">
        <f t="shared" si="2"/>
        <v>0.5247376312</v>
      </c>
      <c r="O336" s="11">
        <f t="shared" si="3"/>
        <v>0.1</v>
      </c>
      <c r="P336" s="12">
        <f t="shared" si="4"/>
        <v>7100.1</v>
      </c>
    </row>
    <row r="337" ht="12.75" customHeight="1">
      <c r="A337" s="3" t="s">
        <v>638</v>
      </c>
      <c r="B337" s="3" t="s">
        <v>548</v>
      </c>
      <c r="C337" s="3" t="s">
        <v>57</v>
      </c>
      <c r="D337" s="3" t="s">
        <v>19</v>
      </c>
      <c r="E337" s="3" t="s">
        <v>20</v>
      </c>
      <c r="F337" s="3" t="s">
        <v>52</v>
      </c>
      <c r="G337" s="3" t="s">
        <v>11</v>
      </c>
      <c r="H337" s="3">
        <v>13365.0</v>
      </c>
      <c r="I337" s="3" t="s">
        <v>42</v>
      </c>
      <c r="K337" s="3">
        <v>13000.0</v>
      </c>
      <c r="L337" s="3" t="s">
        <v>324</v>
      </c>
      <c r="M337" s="3" t="str">
        <f t="shared" si="1"/>
        <v>Target Achieved</v>
      </c>
      <c r="N337" s="10">
        <f t="shared" si="2"/>
        <v>0.5255255255</v>
      </c>
      <c r="O337" s="11" t="str">
        <f t="shared" si="3"/>
        <v/>
      </c>
      <c r="P337" s="12">
        <f t="shared" si="4"/>
        <v>11360.25</v>
      </c>
    </row>
    <row r="338" ht="12.75" customHeight="1">
      <c r="A338" s="3" t="s">
        <v>639</v>
      </c>
      <c r="B338" s="3" t="s">
        <v>257</v>
      </c>
      <c r="C338" s="3" t="s">
        <v>45</v>
      </c>
      <c r="D338" s="3" t="s">
        <v>22</v>
      </c>
      <c r="E338" s="3" t="s">
        <v>46</v>
      </c>
      <c r="F338" s="3" t="s">
        <v>21</v>
      </c>
      <c r="G338" s="3" t="s">
        <v>13</v>
      </c>
      <c r="H338" s="3">
        <v>17704.0</v>
      </c>
      <c r="I338" s="3" t="s">
        <v>42</v>
      </c>
      <c r="K338" s="3">
        <v>17000.0</v>
      </c>
      <c r="L338" s="3" t="s">
        <v>221</v>
      </c>
      <c r="M338" s="3" t="str">
        <f t="shared" si="1"/>
        <v>Target Achieved</v>
      </c>
      <c r="N338" s="10">
        <f t="shared" si="2"/>
        <v>0.5248120301</v>
      </c>
      <c r="O338" s="11" t="str">
        <f t="shared" si="3"/>
        <v/>
      </c>
      <c r="P338" s="12">
        <f t="shared" si="4"/>
        <v>15048.4</v>
      </c>
    </row>
    <row r="339" ht="12.75" customHeight="1">
      <c r="A339" s="3" t="s">
        <v>640</v>
      </c>
      <c r="B339" s="3" t="s">
        <v>535</v>
      </c>
      <c r="C339" s="3" t="s">
        <v>45</v>
      </c>
      <c r="D339" s="3" t="s">
        <v>22</v>
      </c>
      <c r="E339" s="3" t="s">
        <v>46</v>
      </c>
      <c r="F339" s="3" t="s">
        <v>52</v>
      </c>
      <c r="G339" s="3" t="s">
        <v>12</v>
      </c>
      <c r="H339" s="3">
        <v>18603.0</v>
      </c>
      <c r="I339" s="3" t="s">
        <v>23</v>
      </c>
      <c r="J339" s="3">
        <v>0.2</v>
      </c>
      <c r="K339" s="3">
        <v>17000.0</v>
      </c>
      <c r="L339" s="15" t="s">
        <v>312</v>
      </c>
      <c r="M339" s="3" t="str">
        <f t="shared" si="1"/>
        <v>Target Achieved</v>
      </c>
      <c r="N339" s="10">
        <f t="shared" si="2"/>
        <v>0.5240963855</v>
      </c>
      <c r="O339" s="11">
        <f t="shared" si="3"/>
        <v>0.2</v>
      </c>
      <c r="P339" s="12">
        <f t="shared" si="4"/>
        <v>14882.4</v>
      </c>
    </row>
    <row r="340" ht="12.75" customHeight="1">
      <c r="A340" s="3" t="s">
        <v>641</v>
      </c>
      <c r="B340" s="3" t="s">
        <v>119</v>
      </c>
      <c r="C340" s="3" t="s">
        <v>76</v>
      </c>
      <c r="D340" s="3" t="s">
        <v>24</v>
      </c>
      <c r="E340" s="3" t="s">
        <v>46</v>
      </c>
      <c r="F340" s="3" t="s">
        <v>21</v>
      </c>
      <c r="G340" s="3" t="s">
        <v>12</v>
      </c>
      <c r="H340" s="3">
        <v>9749.0</v>
      </c>
      <c r="K340" s="3">
        <v>9000.0</v>
      </c>
      <c r="L340" s="3" t="s">
        <v>328</v>
      </c>
      <c r="M340" s="3" t="str">
        <f t="shared" si="1"/>
        <v>Target Achieved</v>
      </c>
      <c r="N340" s="10">
        <f t="shared" si="2"/>
        <v>0.5233785822</v>
      </c>
      <c r="O340" s="11">
        <f t="shared" si="3"/>
        <v>0</v>
      </c>
      <c r="P340" s="12">
        <f t="shared" si="4"/>
        <v>9749</v>
      </c>
    </row>
    <row r="341" ht="12.75" customHeight="1">
      <c r="A341" s="3" t="s">
        <v>642</v>
      </c>
      <c r="B341" s="3" t="s">
        <v>274</v>
      </c>
      <c r="C341" s="3" t="s">
        <v>76</v>
      </c>
      <c r="D341" s="3" t="s">
        <v>24</v>
      </c>
      <c r="E341" s="3" t="s">
        <v>58</v>
      </c>
      <c r="F341" s="3" t="s">
        <v>41</v>
      </c>
      <c r="G341" s="3" t="s">
        <v>11</v>
      </c>
      <c r="H341" s="3">
        <v>8541.0</v>
      </c>
      <c r="I341" s="3" t="s">
        <v>23</v>
      </c>
      <c r="J341" s="3">
        <v>0.2</v>
      </c>
      <c r="K341" s="3">
        <v>9000.0</v>
      </c>
      <c r="L341" s="3" t="s">
        <v>323</v>
      </c>
      <c r="M341" s="3" t="str">
        <f t="shared" si="1"/>
        <v>Below Target</v>
      </c>
      <c r="N341" s="10">
        <f t="shared" si="2"/>
        <v>0.5226586103</v>
      </c>
      <c r="O341" s="11">
        <f t="shared" si="3"/>
        <v>0.2</v>
      </c>
      <c r="P341" s="12">
        <f t="shared" si="4"/>
        <v>6832.8</v>
      </c>
    </row>
    <row r="342" ht="12.75" customHeight="1">
      <c r="A342" s="3" t="s">
        <v>643</v>
      </c>
      <c r="B342" s="3" t="s">
        <v>644</v>
      </c>
      <c r="C342" s="3" t="s">
        <v>57</v>
      </c>
      <c r="D342" s="3" t="s">
        <v>19</v>
      </c>
      <c r="E342" s="3" t="s">
        <v>46</v>
      </c>
      <c r="F342" s="3" t="s">
        <v>21</v>
      </c>
      <c r="G342" s="3" t="s">
        <v>12</v>
      </c>
      <c r="H342" s="3">
        <v>11591.0</v>
      </c>
      <c r="K342" s="3">
        <v>13000.0</v>
      </c>
      <c r="L342" s="3" t="s">
        <v>340</v>
      </c>
      <c r="M342" s="3" t="str">
        <f t="shared" si="1"/>
        <v>Below Target</v>
      </c>
      <c r="N342" s="10">
        <f t="shared" si="2"/>
        <v>0.5234493192</v>
      </c>
      <c r="O342" s="11">
        <f t="shared" si="3"/>
        <v>0</v>
      </c>
      <c r="P342" s="12">
        <f t="shared" si="4"/>
        <v>11591</v>
      </c>
    </row>
    <row r="343" ht="12.75" customHeight="1">
      <c r="A343" s="3" t="s">
        <v>645</v>
      </c>
      <c r="B343" s="3" t="s">
        <v>213</v>
      </c>
      <c r="C343" s="3" t="s">
        <v>76</v>
      </c>
      <c r="D343" s="3" t="s">
        <v>24</v>
      </c>
      <c r="E343" s="3" t="s">
        <v>58</v>
      </c>
      <c r="F343" s="3" t="s">
        <v>52</v>
      </c>
      <c r="G343" s="3" t="s">
        <v>12</v>
      </c>
      <c r="H343" s="3">
        <v>7549.0</v>
      </c>
      <c r="K343" s="3">
        <v>9000.0</v>
      </c>
      <c r="L343" s="3" t="s">
        <v>245</v>
      </c>
      <c r="M343" s="3" t="str">
        <f t="shared" si="1"/>
        <v>Below Target</v>
      </c>
      <c r="N343" s="10">
        <f t="shared" si="2"/>
        <v>0.5242424242</v>
      </c>
      <c r="O343" s="11">
        <f t="shared" si="3"/>
        <v>0</v>
      </c>
      <c r="P343" s="12">
        <f t="shared" si="4"/>
        <v>7549</v>
      </c>
    </row>
    <row r="344" ht="12.75" customHeight="1">
      <c r="A344" s="3" t="s">
        <v>646</v>
      </c>
      <c r="B344" s="3" t="s">
        <v>382</v>
      </c>
      <c r="C344" s="3" t="s">
        <v>45</v>
      </c>
      <c r="D344" s="3" t="s">
        <v>22</v>
      </c>
      <c r="E344" s="3" t="s">
        <v>20</v>
      </c>
      <c r="F344" s="3" t="s">
        <v>41</v>
      </c>
      <c r="G344" s="3" t="s">
        <v>11</v>
      </c>
      <c r="H344" s="3">
        <v>18469.0</v>
      </c>
      <c r="I344" s="3" t="s">
        <v>47</v>
      </c>
      <c r="J344" s="3">
        <v>0.3</v>
      </c>
      <c r="K344" s="3">
        <v>17000.0</v>
      </c>
      <c r="L344" s="15" t="s">
        <v>123</v>
      </c>
      <c r="M344" s="3" t="str">
        <f t="shared" si="1"/>
        <v>Target Achieved</v>
      </c>
      <c r="N344" s="10">
        <f t="shared" si="2"/>
        <v>0.5250379363</v>
      </c>
      <c r="O344" s="11">
        <f t="shared" si="3"/>
        <v>0.3</v>
      </c>
      <c r="P344" s="12">
        <f t="shared" si="4"/>
        <v>12928.3</v>
      </c>
    </row>
    <row r="345" ht="12.75" customHeight="1">
      <c r="A345" s="3" t="s">
        <v>647</v>
      </c>
      <c r="B345" s="3" t="s">
        <v>648</v>
      </c>
      <c r="C345" s="3" t="s">
        <v>57</v>
      </c>
      <c r="D345" s="3" t="s">
        <v>19</v>
      </c>
      <c r="E345" s="3" t="s">
        <v>46</v>
      </c>
      <c r="F345" s="3" t="s">
        <v>21</v>
      </c>
      <c r="G345" s="3" t="s">
        <v>11</v>
      </c>
      <c r="H345" s="3">
        <v>13759.0</v>
      </c>
      <c r="I345" s="3" t="s">
        <v>42</v>
      </c>
      <c r="K345" s="3">
        <v>13000.0</v>
      </c>
      <c r="L345" s="15" t="s">
        <v>130</v>
      </c>
      <c r="M345" s="3" t="str">
        <f t="shared" si="1"/>
        <v>Target Achieved</v>
      </c>
      <c r="N345" s="10">
        <f t="shared" si="2"/>
        <v>0.5243161094</v>
      </c>
      <c r="O345" s="11" t="str">
        <f t="shared" si="3"/>
        <v/>
      </c>
      <c r="P345" s="12">
        <f t="shared" si="4"/>
        <v>11695.15</v>
      </c>
    </row>
    <row r="346" ht="12.75" customHeight="1">
      <c r="A346" s="3" t="s">
        <v>649</v>
      </c>
      <c r="B346" s="3" t="s">
        <v>168</v>
      </c>
      <c r="C346" s="3" t="s">
        <v>18</v>
      </c>
      <c r="D346" s="3" t="s">
        <v>16</v>
      </c>
      <c r="E346" s="3" t="s">
        <v>46</v>
      </c>
      <c r="F346" s="3" t="s">
        <v>52</v>
      </c>
      <c r="G346" s="3" t="s">
        <v>12</v>
      </c>
      <c r="H346" s="3">
        <v>14750.0</v>
      </c>
      <c r="I346" s="3" t="s">
        <v>42</v>
      </c>
      <c r="K346" s="3">
        <v>14000.0</v>
      </c>
      <c r="L346" s="3" t="s">
        <v>65</v>
      </c>
      <c r="M346" s="3" t="str">
        <f t="shared" si="1"/>
        <v>Target Achieved</v>
      </c>
      <c r="N346" s="10">
        <f t="shared" si="2"/>
        <v>0.5235920852</v>
      </c>
      <c r="O346" s="11" t="str">
        <f t="shared" si="3"/>
        <v/>
      </c>
      <c r="P346" s="12">
        <f t="shared" si="4"/>
        <v>12537.5</v>
      </c>
    </row>
    <row r="347" ht="12.75" customHeight="1">
      <c r="A347" s="3" t="s">
        <v>650</v>
      </c>
      <c r="B347" s="3" t="s">
        <v>266</v>
      </c>
      <c r="C347" s="3" t="s">
        <v>45</v>
      </c>
      <c r="D347" s="3" t="s">
        <v>22</v>
      </c>
      <c r="E347" s="3" t="s">
        <v>58</v>
      </c>
      <c r="F347" s="3" t="s">
        <v>41</v>
      </c>
      <c r="G347" s="3" t="s">
        <v>13</v>
      </c>
      <c r="H347" s="3">
        <v>18838.0</v>
      </c>
      <c r="I347" s="3" t="s">
        <v>23</v>
      </c>
      <c r="J347" s="3">
        <v>0.2</v>
      </c>
      <c r="K347" s="3">
        <v>17000.0</v>
      </c>
      <c r="L347" s="3" t="s">
        <v>38</v>
      </c>
      <c r="M347" s="3" t="str">
        <f t="shared" si="1"/>
        <v>Target Achieved</v>
      </c>
      <c r="N347" s="10">
        <f t="shared" si="2"/>
        <v>0.5228658537</v>
      </c>
      <c r="O347" s="11">
        <f t="shared" si="3"/>
        <v>0.2</v>
      </c>
      <c r="P347" s="12">
        <f t="shared" si="4"/>
        <v>15070.4</v>
      </c>
    </row>
    <row r="348" ht="12.75" customHeight="1">
      <c r="A348" s="3" t="s">
        <v>651</v>
      </c>
      <c r="B348" s="3" t="s">
        <v>220</v>
      </c>
      <c r="C348" s="3" t="s">
        <v>76</v>
      </c>
      <c r="D348" s="3" t="s">
        <v>24</v>
      </c>
      <c r="E348" s="3" t="s">
        <v>46</v>
      </c>
      <c r="F348" s="3" t="s">
        <v>52</v>
      </c>
      <c r="G348" s="3" t="s">
        <v>12</v>
      </c>
      <c r="H348" s="3">
        <v>9882.0</v>
      </c>
      <c r="I348" s="3" t="s">
        <v>23</v>
      </c>
      <c r="J348" s="3">
        <v>0.2</v>
      </c>
      <c r="K348" s="3">
        <v>9000.0</v>
      </c>
      <c r="L348" s="3" t="s">
        <v>314</v>
      </c>
      <c r="M348" s="3" t="str">
        <f t="shared" si="1"/>
        <v>Target Achieved</v>
      </c>
      <c r="N348" s="10">
        <f t="shared" si="2"/>
        <v>0.5221374046</v>
      </c>
      <c r="O348" s="11">
        <f t="shared" si="3"/>
        <v>0.2</v>
      </c>
      <c r="P348" s="12">
        <f t="shared" si="4"/>
        <v>7905.6</v>
      </c>
    </row>
    <row r="349" ht="12.75" customHeight="1">
      <c r="A349" s="3" t="s">
        <v>652</v>
      </c>
      <c r="B349" s="3" t="s">
        <v>653</v>
      </c>
      <c r="C349" s="3" t="s">
        <v>45</v>
      </c>
      <c r="D349" s="3" t="s">
        <v>22</v>
      </c>
      <c r="E349" s="3" t="s">
        <v>58</v>
      </c>
      <c r="F349" s="3" t="s">
        <v>21</v>
      </c>
      <c r="G349" s="3" t="s">
        <v>11</v>
      </c>
      <c r="H349" s="3">
        <v>17185.0</v>
      </c>
      <c r="I349" s="3" t="s">
        <v>47</v>
      </c>
      <c r="J349" s="3">
        <v>0.3</v>
      </c>
      <c r="K349" s="3">
        <v>17000.0</v>
      </c>
      <c r="L349" s="3" t="s">
        <v>327</v>
      </c>
      <c r="M349" s="3" t="str">
        <f t="shared" si="1"/>
        <v>Target Achieved</v>
      </c>
      <c r="N349" s="10">
        <f t="shared" si="2"/>
        <v>0.5214067278</v>
      </c>
      <c r="O349" s="11">
        <f t="shared" si="3"/>
        <v>0.3</v>
      </c>
      <c r="P349" s="12">
        <f t="shared" si="4"/>
        <v>12029.5</v>
      </c>
    </row>
    <row r="350" ht="12.75" customHeight="1">
      <c r="A350" s="3" t="s">
        <v>654</v>
      </c>
      <c r="B350" s="3" t="s">
        <v>170</v>
      </c>
      <c r="C350" s="3" t="s">
        <v>76</v>
      </c>
      <c r="D350" s="3" t="s">
        <v>24</v>
      </c>
      <c r="E350" s="3" t="s">
        <v>58</v>
      </c>
      <c r="F350" s="3" t="s">
        <v>41</v>
      </c>
      <c r="G350" s="3" t="s">
        <v>12</v>
      </c>
      <c r="H350" s="3">
        <v>8923.0</v>
      </c>
      <c r="I350" s="3" t="s">
        <v>47</v>
      </c>
      <c r="J350" s="3">
        <v>0.3</v>
      </c>
      <c r="K350" s="3">
        <v>9000.0</v>
      </c>
      <c r="L350" s="3" t="s">
        <v>340</v>
      </c>
      <c r="M350" s="3" t="str">
        <f t="shared" si="1"/>
        <v>Below Target</v>
      </c>
      <c r="N350" s="10">
        <f t="shared" si="2"/>
        <v>0.5206738132</v>
      </c>
      <c r="O350" s="11">
        <f t="shared" si="3"/>
        <v>0.3</v>
      </c>
      <c r="P350" s="12">
        <f t="shared" si="4"/>
        <v>6246.1</v>
      </c>
    </row>
    <row r="351" ht="12.75" customHeight="1">
      <c r="A351" s="3" t="s">
        <v>655</v>
      </c>
      <c r="B351" s="3" t="s">
        <v>491</v>
      </c>
      <c r="C351" s="3" t="s">
        <v>45</v>
      </c>
      <c r="D351" s="3" t="s">
        <v>22</v>
      </c>
      <c r="E351" s="3" t="s">
        <v>58</v>
      </c>
      <c r="F351" s="3" t="s">
        <v>41</v>
      </c>
      <c r="G351" s="3" t="s">
        <v>12</v>
      </c>
      <c r="H351" s="3">
        <v>18539.0</v>
      </c>
      <c r="I351" s="3" t="s">
        <v>23</v>
      </c>
      <c r="J351" s="3">
        <v>0.2</v>
      </c>
      <c r="K351" s="3">
        <v>17000.0</v>
      </c>
      <c r="L351" s="3" t="s">
        <v>38</v>
      </c>
      <c r="M351" s="3" t="str">
        <f t="shared" si="1"/>
        <v>Target Achieved</v>
      </c>
      <c r="N351" s="10">
        <f t="shared" si="2"/>
        <v>0.5214723926</v>
      </c>
      <c r="O351" s="11">
        <f t="shared" si="3"/>
        <v>0.2</v>
      </c>
      <c r="P351" s="12">
        <f t="shared" si="4"/>
        <v>14831.2</v>
      </c>
    </row>
    <row r="352" ht="12.75" customHeight="1">
      <c r="A352" s="3" t="s">
        <v>656</v>
      </c>
      <c r="B352" s="3" t="s">
        <v>657</v>
      </c>
      <c r="C352" s="3" t="s">
        <v>45</v>
      </c>
      <c r="D352" s="3" t="s">
        <v>22</v>
      </c>
      <c r="E352" s="3" t="s">
        <v>20</v>
      </c>
      <c r="F352" s="3" t="s">
        <v>52</v>
      </c>
      <c r="G352" s="3" t="s">
        <v>12</v>
      </c>
      <c r="H352" s="3">
        <v>17949.0</v>
      </c>
      <c r="K352" s="3">
        <v>17000.0</v>
      </c>
      <c r="L352" s="3" t="s">
        <v>268</v>
      </c>
      <c r="M352" s="3" t="str">
        <f t="shared" si="1"/>
        <v>Target Achieved</v>
      </c>
      <c r="N352" s="10">
        <f t="shared" si="2"/>
        <v>0.5207373272</v>
      </c>
      <c r="O352" s="11">
        <f t="shared" si="3"/>
        <v>0</v>
      </c>
      <c r="P352" s="12">
        <f t="shared" si="4"/>
        <v>17949</v>
      </c>
    </row>
    <row r="353" ht="12.75" customHeight="1">
      <c r="A353" s="3" t="s">
        <v>658</v>
      </c>
      <c r="B353" s="3" t="s">
        <v>49</v>
      </c>
      <c r="C353" s="3" t="s">
        <v>45</v>
      </c>
      <c r="D353" s="3" t="s">
        <v>22</v>
      </c>
      <c r="E353" s="3" t="s">
        <v>46</v>
      </c>
      <c r="F353" s="3" t="s">
        <v>21</v>
      </c>
      <c r="G353" s="3" t="s">
        <v>12</v>
      </c>
      <c r="H353" s="3">
        <v>18413.0</v>
      </c>
      <c r="I353" s="3" t="s">
        <v>23</v>
      </c>
      <c r="J353" s="3">
        <v>0.2</v>
      </c>
      <c r="K353" s="3">
        <v>17000.0</v>
      </c>
      <c r="L353" s="15" t="s">
        <v>177</v>
      </c>
      <c r="M353" s="3" t="str">
        <f t="shared" si="1"/>
        <v>Target Achieved</v>
      </c>
      <c r="N353" s="10">
        <f t="shared" si="2"/>
        <v>0.52</v>
      </c>
      <c r="O353" s="11">
        <f t="shared" si="3"/>
        <v>0.2</v>
      </c>
      <c r="P353" s="12">
        <f t="shared" si="4"/>
        <v>14730.4</v>
      </c>
    </row>
    <row r="354" ht="12.75" customHeight="1">
      <c r="A354" s="3" t="s">
        <v>659</v>
      </c>
      <c r="B354" s="3" t="s">
        <v>255</v>
      </c>
      <c r="C354" s="3" t="s">
        <v>45</v>
      </c>
      <c r="D354" s="3" t="s">
        <v>22</v>
      </c>
      <c r="E354" s="3" t="s">
        <v>58</v>
      </c>
      <c r="F354" s="3" t="s">
        <v>21</v>
      </c>
      <c r="G354" s="3" t="s">
        <v>12</v>
      </c>
      <c r="H354" s="3">
        <v>17628.0</v>
      </c>
      <c r="K354" s="3">
        <v>17000.0</v>
      </c>
      <c r="L354" s="3" t="s">
        <v>345</v>
      </c>
      <c r="M354" s="3" t="str">
        <f t="shared" si="1"/>
        <v>Target Achieved</v>
      </c>
      <c r="N354" s="10">
        <f t="shared" si="2"/>
        <v>0.5192604006</v>
      </c>
      <c r="O354" s="11">
        <f t="shared" si="3"/>
        <v>0</v>
      </c>
      <c r="P354" s="12">
        <f t="shared" si="4"/>
        <v>17628</v>
      </c>
    </row>
    <row r="355" ht="12.75" customHeight="1">
      <c r="A355" s="3" t="s">
        <v>660</v>
      </c>
      <c r="B355" s="3" t="s">
        <v>372</v>
      </c>
      <c r="C355" s="3" t="s">
        <v>45</v>
      </c>
      <c r="D355" s="3" t="s">
        <v>22</v>
      </c>
      <c r="E355" s="3" t="s">
        <v>46</v>
      </c>
      <c r="F355" s="3" t="s">
        <v>41</v>
      </c>
      <c r="G355" s="3" t="s">
        <v>12</v>
      </c>
      <c r="H355" s="3">
        <v>17238.0</v>
      </c>
      <c r="K355" s="3">
        <v>17000.0</v>
      </c>
      <c r="L355" s="15" t="s">
        <v>316</v>
      </c>
      <c r="M355" s="3" t="str">
        <f t="shared" si="1"/>
        <v>Target Achieved</v>
      </c>
      <c r="N355" s="10">
        <f t="shared" si="2"/>
        <v>0.5185185185</v>
      </c>
      <c r="O355" s="11">
        <f t="shared" si="3"/>
        <v>0</v>
      </c>
      <c r="P355" s="12">
        <f t="shared" si="4"/>
        <v>17238</v>
      </c>
    </row>
    <row r="356" ht="12.75" customHeight="1">
      <c r="A356" s="3" t="s">
        <v>661</v>
      </c>
      <c r="B356" s="3" t="s">
        <v>111</v>
      </c>
      <c r="C356" s="3" t="s">
        <v>18</v>
      </c>
      <c r="D356" s="3" t="s">
        <v>16</v>
      </c>
      <c r="E356" s="3" t="s">
        <v>20</v>
      </c>
      <c r="F356" s="3" t="s">
        <v>41</v>
      </c>
      <c r="G356" s="3" t="s">
        <v>13</v>
      </c>
      <c r="H356" s="3">
        <v>15871.0</v>
      </c>
      <c r="I356" s="3" t="s">
        <v>37</v>
      </c>
      <c r="J356" s="3">
        <v>0.1</v>
      </c>
      <c r="K356" s="3">
        <v>14000.0</v>
      </c>
      <c r="L356" s="3" t="s">
        <v>323</v>
      </c>
      <c r="M356" s="3" t="str">
        <f t="shared" si="1"/>
        <v>Target Achieved</v>
      </c>
      <c r="N356" s="10">
        <f t="shared" si="2"/>
        <v>0.5177743431</v>
      </c>
      <c r="O356" s="11">
        <f t="shared" si="3"/>
        <v>0.1</v>
      </c>
      <c r="P356" s="12">
        <f t="shared" si="4"/>
        <v>14283.9</v>
      </c>
    </row>
    <row r="357" ht="12.75" customHeight="1">
      <c r="A357" s="3" t="s">
        <v>662</v>
      </c>
      <c r="B357" s="3" t="s">
        <v>506</v>
      </c>
      <c r="C357" s="3" t="s">
        <v>57</v>
      </c>
      <c r="D357" s="3" t="s">
        <v>19</v>
      </c>
      <c r="E357" s="3" t="s">
        <v>20</v>
      </c>
      <c r="F357" s="3" t="s">
        <v>41</v>
      </c>
      <c r="G357" s="3" t="s">
        <v>13</v>
      </c>
      <c r="H357" s="3">
        <v>13896.0</v>
      </c>
      <c r="I357" s="3" t="s">
        <v>23</v>
      </c>
      <c r="J357" s="3">
        <v>0.2</v>
      </c>
      <c r="K357" s="3">
        <v>13000.0</v>
      </c>
      <c r="L357" s="15" t="s">
        <v>308</v>
      </c>
      <c r="M357" s="3" t="str">
        <f t="shared" si="1"/>
        <v>Target Achieved</v>
      </c>
      <c r="N357" s="10">
        <f t="shared" si="2"/>
        <v>0.5170278638</v>
      </c>
      <c r="O357" s="11">
        <f t="shared" si="3"/>
        <v>0.2</v>
      </c>
      <c r="P357" s="12">
        <f t="shared" si="4"/>
        <v>11116.8</v>
      </c>
    </row>
    <row r="358" ht="12.75" customHeight="1">
      <c r="A358" s="3" t="s">
        <v>663</v>
      </c>
      <c r="B358" s="3" t="s">
        <v>40</v>
      </c>
      <c r="C358" s="3" t="s">
        <v>76</v>
      </c>
      <c r="D358" s="3" t="s">
        <v>24</v>
      </c>
      <c r="E358" s="3" t="s">
        <v>58</v>
      </c>
      <c r="F358" s="3" t="s">
        <v>41</v>
      </c>
      <c r="G358" s="3" t="s">
        <v>12</v>
      </c>
      <c r="H358" s="3">
        <v>9612.0</v>
      </c>
      <c r="I358" s="3" t="s">
        <v>42</v>
      </c>
      <c r="K358" s="3">
        <v>9000.0</v>
      </c>
      <c r="L358" s="3" t="s">
        <v>340</v>
      </c>
      <c r="M358" s="3" t="str">
        <f t="shared" si="1"/>
        <v>Target Achieved</v>
      </c>
      <c r="N358" s="10">
        <f t="shared" si="2"/>
        <v>0.5162790698</v>
      </c>
      <c r="O358" s="11" t="str">
        <f t="shared" si="3"/>
        <v/>
      </c>
      <c r="P358" s="12">
        <f t="shared" si="4"/>
        <v>8170.2</v>
      </c>
    </row>
    <row r="359" ht="12.75" customHeight="1">
      <c r="A359" s="3" t="s">
        <v>664</v>
      </c>
      <c r="B359" s="3" t="s">
        <v>429</v>
      </c>
      <c r="C359" s="3" t="s">
        <v>76</v>
      </c>
      <c r="D359" s="3" t="s">
        <v>24</v>
      </c>
      <c r="E359" s="3" t="s">
        <v>46</v>
      </c>
      <c r="F359" s="3" t="s">
        <v>41</v>
      </c>
      <c r="G359" s="3" t="s">
        <v>12</v>
      </c>
      <c r="H359" s="3">
        <v>9259.0</v>
      </c>
      <c r="K359" s="3">
        <v>9000.0</v>
      </c>
      <c r="L359" s="15" t="s">
        <v>308</v>
      </c>
      <c r="M359" s="3" t="str">
        <f t="shared" si="1"/>
        <v>Target Achieved</v>
      </c>
      <c r="N359" s="10">
        <f t="shared" si="2"/>
        <v>0.5155279503</v>
      </c>
      <c r="O359" s="11">
        <f t="shared" si="3"/>
        <v>0</v>
      </c>
      <c r="P359" s="12">
        <f t="shared" si="4"/>
        <v>9259</v>
      </c>
    </row>
    <row r="360" ht="12.75" customHeight="1">
      <c r="A360" s="3" t="s">
        <v>665</v>
      </c>
      <c r="B360" s="3" t="s">
        <v>213</v>
      </c>
      <c r="C360" s="3" t="s">
        <v>45</v>
      </c>
      <c r="D360" s="3" t="s">
        <v>22</v>
      </c>
      <c r="E360" s="3" t="s">
        <v>20</v>
      </c>
      <c r="F360" s="3" t="s">
        <v>21</v>
      </c>
      <c r="G360" s="3" t="s">
        <v>13</v>
      </c>
      <c r="H360" s="3">
        <v>17057.0</v>
      </c>
      <c r="K360" s="3">
        <v>17000.0</v>
      </c>
      <c r="L360" s="3" t="s">
        <v>330</v>
      </c>
      <c r="M360" s="3" t="str">
        <f t="shared" si="1"/>
        <v>Target Achieved</v>
      </c>
      <c r="N360" s="10">
        <f t="shared" si="2"/>
        <v>0.5147744946</v>
      </c>
      <c r="O360" s="11">
        <f t="shared" si="3"/>
        <v>0</v>
      </c>
      <c r="P360" s="12">
        <f t="shared" si="4"/>
        <v>17057</v>
      </c>
    </row>
    <row r="361" ht="12.75" customHeight="1">
      <c r="A361" s="3" t="s">
        <v>666</v>
      </c>
      <c r="B361" s="3" t="s">
        <v>157</v>
      </c>
      <c r="C361" s="3" t="s">
        <v>18</v>
      </c>
      <c r="D361" s="3" t="s">
        <v>16</v>
      </c>
      <c r="E361" s="3" t="s">
        <v>46</v>
      </c>
      <c r="F361" s="3" t="s">
        <v>52</v>
      </c>
      <c r="G361" s="3" t="s">
        <v>13</v>
      </c>
      <c r="H361" s="3">
        <v>12987.0</v>
      </c>
      <c r="I361" s="3" t="s">
        <v>23</v>
      </c>
      <c r="J361" s="3">
        <v>0.2</v>
      </c>
      <c r="K361" s="3">
        <v>14000.0</v>
      </c>
      <c r="L361" s="15" t="s">
        <v>322</v>
      </c>
      <c r="M361" s="3" t="str">
        <f t="shared" si="1"/>
        <v>Below Target</v>
      </c>
      <c r="N361" s="10">
        <f t="shared" si="2"/>
        <v>0.5140186916</v>
      </c>
      <c r="O361" s="11">
        <f t="shared" si="3"/>
        <v>0.2</v>
      </c>
      <c r="P361" s="12">
        <f t="shared" si="4"/>
        <v>10389.6</v>
      </c>
    </row>
    <row r="362" ht="12.75" customHeight="1">
      <c r="A362" s="3" t="s">
        <v>667</v>
      </c>
      <c r="B362" s="3" t="s">
        <v>548</v>
      </c>
      <c r="C362" s="3" t="s">
        <v>45</v>
      </c>
      <c r="D362" s="3" t="s">
        <v>22</v>
      </c>
      <c r="E362" s="3" t="s">
        <v>58</v>
      </c>
      <c r="F362" s="3" t="s">
        <v>21</v>
      </c>
      <c r="G362" s="3" t="s">
        <v>13</v>
      </c>
      <c r="H362" s="3">
        <v>16528.0</v>
      </c>
      <c r="K362" s="3">
        <v>17000.0</v>
      </c>
      <c r="L362" s="3" t="s">
        <v>345</v>
      </c>
      <c r="M362" s="3" t="str">
        <f t="shared" si="1"/>
        <v>Below Target</v>
      </c>
      <c r="N362" s="10">
        <f t="shared" si="2"/>
        <v>0.5148205928</v>
      </c>
      <c r="O362" s="11">
        <f t="shared" si="3"/>
        <v>0</v>
      </c>
      <c r="P362" s="12">
        <f t="shared" si="4"/>
        <v>16528</v>
      </c>
    </row>
    <row r="363" ht="12.75" customHeight="1">
      <c r="A363" s="3" t="s">
        <v>668</v>
      </c>
      <c r="B363" s="3" t="s">
        <v>619</v>
      </c>
      <c r="C363" s="3" t="s">
        <v>57</v>
      </c>
      <c r="D363" s="3" t="s">
        <v>19</v>
      </c>
      <c r="E363" s="3" t="s">
        <v>58</v>
      </c>
      <c r="F363" s="3" t="s">
        <v>52</v>
      </c>
      <c r="G363" s="3" t="s">
        <v>13</v>
      </c>
      <c r="H363" s="3">
        <v>13677.0</v>
      </c>
      <c r="I363" s="3" t="s">
        <v>37</v>
      </c>
      <c r="J363" s="3">
        <v>0.1</v>
      </c>
      <c r="K363" s="3">
        <v>13000.0</v>
      </c>
      <c r="L363" s="15" t="s">
        <v>123</v>
      </c>
      <c r="M363" s="3" t="str">
        <f t="shared" si="1"/>
        <v>Target Achieved</v>
      </c>
      <c r="N363" s="10">
        <f t="shared" si="2"/>
        <v>0.515625</v>
      </c>
      <c r="O363" s="11">
        <f t="shared" si="3"/>
        <v>0.1</v>
      </c>
      <c r="P363" s="12">
        <f t="shared" si="4"/>
        <v>12309.3</v>
      </c>
    </row>
    <row r="364" ht="12.75" customHeight="1">
      <c r="A364" s="3" t="s">
        <v>669</v>
      </c>
      <c r="B364" s="3" t="s">
        <v>225</v>
      </c>
      <c r="C364" s="3" t="s">
        <v>76</v>
      </c>
      <c r="D364" s="3" t="s">
        <v>24</v>
      </c>
      <c r="E364" s="3" t="s">
        <v>20</v>
      </c>
      <c r="F364" s="3" t="s">
        <v>21</v>
      </c>
      <c r="G364" s="3" t="s">
        <v>13</v>
      </c>
      <c r="H364" s="3">
        <v>9608.0</v>
      </c>
      <c r="I364" s="3" t="s">
        <v>37</v>
      </c>
      <c r="J364" s="3">
        <v>0.1</v>
      </c>
      <c r="K364" s="3">
        <v>9000.0</v>
      </c>
      <c r="L364" s="3" t="s">
        <v>96</v>
      </c>
      <c r="M364" s="3" t="str">
        <f t="shared" si="1"/>
        <v>Target Achieved</v>
      </c>
      <c r="N364" s="10">
        <f t="shared" si="2"/>
        <v>0.5148669797</v>
      </c>
      <c r="O364" s="11">
        <f t="shared" si="3"/>
        <v>0.1</v>
      </c>
      <c r="P364" s="12">
        <f t="shared" si="4"/>
        <v>8647.2</v>
      </c>
    </row>
    <row r="365" ht="12.75" customHeight="1">
      <c r="A365" s="3" t="s">
        <v>670</v>
      </c>
      <c r="B365" s="3" t="s">
        <v>421</v>
      </c>
      <c r="C365" s="3" t="s">
        <v>76</v>
      </c>
      <c r="D365" s="3" t="s">
        <v>24</v>
      </c>
      <c r="E365" s="3" t="s">
        <v>58</v>
      </c>
      <c r="F365" s="3" t="s">
        <v>52</v>
      </c>
      <c r="G365" s="3" t="s">
        <v>11</v>
      </c>
      <c r="H365" s="3">
        <v>9317.0</v>
      </c>
      <c r="I365" s="3" t="s">
        <v>37</v>
      </c>
      <c r="J365" s="3">
        <v>0.1</v>
      </c>
      <c r="K365" s="3">
        <v>9000.0</v>
      </c>
      <c r="L365" s="3" t="s">
        <v>338</v>
      </c>
      <c r="M365" s="3" t="str">
        <f t="shared" si="1"/>
        <v>Target Achieved</v>
      </c>
      <c r="N365" s="10">
        <f t="shared" si="2"/>
        <v>0.5141065831</v>
      </c>
      <c r="O365" s="11">
        <f t="shared" si="3"/>
        <v>0.1</v>
      </c>
      <c r="P365" s="12">
        <f t="shared" si="4"/>
        <v>8385.3</v>
      </c>
    </row>
    <row r="366" ht="12.75" customHeight="1">
      <c r="A366" s="3" t="s">
        <v>671</v>
      </c>
      <c r="B366" s="3" t="s">
        <v>233</v>
      </c>
      <c r="C366" s="3" t="s">
        <v>57</v>
      </c>
      <c r="D366" s="3" t="s">
        <v>19</v>
      </c>
      <c r="E366" s="3" t="s">
        <v>46</v>
      </c>
      <c r="F366" s="3" t="s">
        <v>52</v>
      </c>
      <c r="G366" s="3" t="s">
        <v>12</v>
      </c>
      <c r="H366" s="3">
        <v>12947.0</v>
      </c>
      <c r="I366" s="3" t="s">
        <v>47</v>
      </c>
      <c r="J366" s="3">
        <v>0.3</v>
      </c>
      <c r="K366" s="3">
        <v>13000.0</v>
      </c>
      <c r="L366" s="15" t="s">
        <v>341</v>
      </c>
      <c r="M366" s="3" t="str">
        <f t="shared" si="1"/>
        <v>Below Target</v>
      </c>
      <c r="N366" s="10">
        <f t="shared" si="2"/>
        <v>0.5133437991</v>
      </c>
      <c r="O366" s="11">
        <f t="shared" si="3"/>
        <v>0.3</v>
      </c>
      <c r="P366" s="12">
        <f t="shared" si="4"/>
        <v>9062.9</v>
      </c>
    </row>
    <row r="367" ht="12.75" customHeight="1">
      <c r="A367" s="3" t="s">
        <v>672</v>
      </c>
      <c r="B367" s="3" t="s">
        <v>503</v>
      </c>
      <c r="C367" s="3" t="s">
        <v>45</v>
      </c>
      <c r="D367" s="3" t="s">
        <v>22</v>
      </c>
      <c r="E367" s="3" t="s">
        <v>20</v>
      </c>
      <c r="F367" s="3" t="s">
        <v>52</v>
      </c>
      <c r="G367" s="3" t="s">
        <v>12</v>
      </c>
      <c r="H367" s="3">
        <v>15134.0</v>
      </c>
      <c r="I367" s="3" t="s">
        <v>23</v>
      </c>
      <c r="J367" s="3">
        <v>0.2</v>
      </c>
      <c r="K367" s="3">
        <v>17000.0</v>
      </c>
      <c r="L367" s="3" t="s">
        <v>80</v>
      </c>
      <c r="M367" s="3" t="str">
        <f t="shared" si="1"/>
        <v>Below Target</v>
      </c>
      <c r="N367" s="10">
        <f t="shared" si="2"/>
        <v>0.5141509434</v>
      </c>
      <c r="O367" s="11">
        <f t="shared" si="3"/>
        <v>0.2</v>
      </c>
      <c r="P367" s="12">
        <f t="shared" si="4"/>
        <v>12107.2</v>
      </c>
    </row>
    <row r="368" ht="12.75" customHeight="1">
      <c r="A368" s="3" t="s">
        <v>673</v>
      </c>
      <c r="B368" s="3" t="s">
        <v>398</v>
      </c>
      <c r="C368" s="3" t="s">
        <v>18</v>
      </c>
      <c r="D368" s="3" t="s">
        <v>16</v>
      </c>
      <c r="E368" s="3" t="s">
        <v>46</v>
      </c>
      <c r="F368" s="3" t="s">
        <v>52</v>
      </c>
      <c r="G368" s="3" t="s">
        <v>13</v>
      </c>
      <c r="H368" s="3">
        <v>15081.0</v>
      </c>
      <c r="K368" s="3">
        <v>14000.0</v>
      </c>
      <c r="L368" s="3" t="s">
        <v>80</v>
      </c>
      <c r="M368" s="3" t="str">
        <f t="shared" si="1"/>
        <v>Target Achieved</v>
      </c>
      <c r="N368" s="10">
        <f t="shared" si="2"/>
        <v>0.5149606299</v>
      </c>
      <c r="O368" s="11">
        <f t="shared" si="3"/>
        <v>0</v>
      </c>
      <c r="P368" s="12">
        <f t="shared" si="4"/>
        <v>15081</v>
      </c>
    </row>
    <row r="369" ht="12.75" customHeight="1">
      <c r="A369" s="3" t="s">
        <v>674</v>
      </c>
      <c r="B369" s="3" t="s">
        <v>351</v>
      </c>
      <c r="C369" s="3" t="s">
        <v>57</v>
      </c>
      <c r="D369" s="3" t="s">
        <v>19</v>
      </c>
      <c r="E369" s="3" t="s">
        <v>20</v>
      </c>
      <c r="F369" s="3" t="s">
        <v>41</v>
      </c>
      <c r="G369" s="3" t="s">
        <v>12</v>
      </c>
      <c r="H369" s="3">
        <v>14418.0</v>
      </c>
      <c r="K369" s="3">
        <v>13000.0</v>
      </c>
      <c r="L369" s="3" t="s">
        <v>238</v>
      </c>
      <c r="M369" s="3" t="str">
        <f t="shared" si="1"/>
        <v>Target Achieved</v>
      </c>
      <c r="N369" s="10">
        <f t="shared" si="2"/>
        <v>0.5141955836</v>
      </c>
      <c r="O369" s="11">
        <f t="shared" si="3"/>
        <v>0</v>
      </c>
      <c r="P369" s="12">
        <f t="shared" si="4"/>
        <v>14418</v>
      </c>
    </row>
    <row r="370" ht="12.75" customHeight="1">
      <c r="A370" s="3" t="s">
        <v>675</v>
      </c>
      <c r="B370" s="3" t="s">
        <v>111</v>
      </c>
      <c r="C370" s="3" t="s">
        <v>45</v>
      </c>
      <c r="D370" s="3" t="s">
        <v>22</v>
      </c>
      <c r="E370" s="3" t="s">
        <v>58</v>
      </c>
      <c r="F370" s="3" t="s">
        <v>52</v>
      </c>
      <c r="G370" s="3" t="s">
        <v>13</v>
      </c>
      <c r="H370" s="3">
        <v>18237.0</v>
      </c>
      <c r="I370" s="3" t="s">
        <v>37</v>
      </c>
      <c r="J370" s="3">
        <v>0.1</v>
      </c>
      <c r="K370" s="3">
        <v>17000.0</v>
      </c>
      <c r="L370" s="15" t="s">
        <v>155</v>
      </c>
      <c r="M370" s="3" t="str">
        <f t="shared" si="1"/>
        <v>Target Achieved</v>
      </c>
      <c r="N370" s="10">
        <f t="shared" si="2"/>
        <v>0.5134281201</v>
      </c>
      <c r="O370" s="11">
        <f t="shared" si="3"/>
        <v>0.1</v>
      </c>
      <c r="P370" s="12">
        <f t="shared" si="4"/>
        <v>16413.3</v>
      </c>
    </row>
    <row r="371" ht="12.75" customHeight="1">
      <c r="A371" s="3" t="s">
        <v>676</v>
      </c>
      <c r="B371" s="3" t="s">
        <v>677</v>
      </c>
      <c r="C371" s="3" t="s">
        <v>18</v>
      </c>
      <c r="D371" s="3" t="s">
        <v>16</v>
      </c>
      <c r="E371" s="3" t="s">
        <v>46</v>
      </c>
      <c r="F371" s="3" t="s">
        <v>21</v>
      </c>
      <c r="G371" s="3" t="s">
        <v>13</v>
      </c>
      <c r="H371" s="3">
        <v>15435.0</v>
      </c>
      <c r="I371" s="3" t="s">
        <v>37</v>
      </c>
      <c r="J371" s="3">
        <v>0.1</v>
      </c>
      <c r="K371" s="3">
        <v>14000.0</v>
      </c>
      <c r="L371" s="3" t="s">
        <v>332</v>
      </c>
      <c r="M371" s="3" t="str">
        <f t="shared" si="1"/>
        <v>Target Achieved</v>
      </c>
      <c r="N371" s="10">
        <f t="shared" si="2"/>
        <v>0.5126582278</v>
      </c>
      <c r="O371" s="11">
        <f t="shared" si="3"/>
        <v>0.1</v>
      </c>
      <c r="P371" s="12">
        <f t="shared" si="4"/>
        <v>13891.5</v>
      </c>
    </row>
    <row r="372" ht="12.75" customHeight="1">
      <c r="A372" s="3" t="s">
        <v>678</v>
      </c>
      <c r="B372" s="3" t="s">
        <v>679</v>
      </c>
      <c r="C372" s="3" t="s">
        <v>76</v>
      </c>
      <c r="D372" s="3" t="s">
        <v>24</v>
      </c>
      <c r="E372" s="3" t="s">
        <v>58</v>
      </c>
      <c r="F372" s="3" t="s">
        <v>41</v>
      </c>
      <c r="G372" s="3" t="s">
        <v>12</v>
      </c>
      <c r="H372" s="3">
        <v>8119.0</v>
      </c>
      <c r="K372" s="3">
        <v>9000.0</v>
      </c>
      <c r="L372" s="15" t="s">
        <v>177</v>
      </c>
      <c r="M372" s="3" t="str">
        <f t="shared" si="1"/>
        <v>Below Target</v>
      </c>
      <c r="N372" s="10">
        <f t="shared" si="2"/>
        <v>0.5118858954</v>
      </c>
      <c r="O372" s="11">
        <f t="shared" si="3"/>
        <v>0</v>
      </c>
      <c r="P372" s="12">
        <f t="shared" si="4"/>
        <v>8119</v>
      </c>
    </row>
    <row r="373" ht="12.75" customHeight="1">
      <c r="A373" s="3" t="s">
        <v>680</v>
      </c>
      <c r="B373" s="3" t="s">
        <v>491</v>
      </c>
      <c r="C373" s="3" t="s">
        <v>76</v>
      </c>
      <c r="D373" s="3" t="s">
        <v>24</v>
      </c>
      <c r="E373" s="3" t="s">
        <v>58</v>
      </c>
      <c r="F373" s="3" t="s">
        <v>41</v>
      </c>
      <c r="G373" s="3" t="s">
        <v>12</v>
      </c>
      <c r="H373" s="3">
        <v>9399.0</v>
      </c>
      <c r="K373" s="3">
        <v>9000.0</v>
      </c>
      <c r="L373" s="15" t="s">
        <v>123</v>
      </c>
      <c r="M373" s="3" t="str">
        <f t="shared" si="1"/>
        <v>Target Achieved</v>
      </c>
      <c r="N373" s="10">
        <f t="shared" si="2"/>
        <v>0.5126984127</v>
      </c>
      <c r="O373" s="11">
        <f t="shared" si="3"/>
        <v>0</v>
      </c>
      <c r="P373" s="12">
        <f t="shared" si="4"/>
        <v>9399</v>
      </c>
    </row>
    <row r="374" ht="12.75" customHeight="1">
      <c r="A374" s="3" t="s">
        <v>681</v>
      </c>
      <c r="B374" s="3" t="s">
        <v>622</v>
      </c>
      <c r="C374" s="3" t="s">
        <v>45</v>
      </c>
      <c r="D374" s="3" t="s">
        <v>22</v>
      </c>
      <c r="E374" s="3" t="s">
        <v>46</v>
      </c>
      <c r="F374" s="3" t="s">
        <v>52</v>
      </c>
      <c r="G374" s="3" t="s">
        <v>13</v>
      </c>
      <c r="H374" s="3">
        <v>15336.0</v>
      </c>
      <c r="I374" s="3" t="s">
        <v>47</v>
      </c>
      <c r="J374" s="3">
        <v>0.3</v>
      </c>
      <c r="K374" s="3">
        <v>17000.0</v>
      </c>
      <c r="L374" s="15" t="s">
        <v>114</v>
      </c>
      <c r="M374" s="3" t="str">
        <f t="shared" si="1"/>
        <v>Below Target</v>
      </c>
      <c r="N374" s="10">
        <f t="shared" si="2"/>
        <v>0.5119236884</v>
      </c>
      <c r="O374" s="11">
        <f t="shared" si="3"/>
        <v>0.3</v>
      </c>
      <c r="P374" s="12">
        <f t="shared" si="4"/>
        <v>10735.2</v>
      </c>
    </row>
    <row r="375" ht="12.75" customHeight="1">
      <c r="A375" s="3" t="s">
        <v>682</v>
      </c>
      <c r="B375" s="3" t="s">
        <v>134</v>
      </c>
      <c r="C375" s="3" t="s">
        <v>57</v>
      </c>
      <c r="D375" s="3" t="s">
        <v>19</v>
      </c>
      <c r="E375" s="3" t="s">
        <v>20</v>
      </c>
      <c r="F375" s="3" t="s">
        <v>21</v>
      </c>
      <c r="G375" s="3" t="s">
        <v>11</v>
      </c>
      <c r="H375" s="3">
        <v>12477.0</v>
      </c>
      <c r="I375" s="3" t="s">
        <v>37</v>
      </c>
      <c r="J375" s="3">
        <v>0.1</v>
      </c>
      <c r="K375" s="3">
        <v>13000.0</v>
      </c>
      <c r="L375" s="15" t="s">
        <v>123</v>
      </c>
      <c r="M375" s="3" t="str">
        <f t="shared" si="1"/>
        <v>Below Target</v>
      </c>
      <c r="N375" s="10">
        <f t="shared" si="2"/>
        <v>0.5127388535</v>
      </c>
      <c r="O375" s="11">
        <f t="shared" si="3"/>
        <v>0.1</v>
      </c>
      <c r="P375" s="12">
        <f t="shared" si="4"/>
        <v>11229.3</v>
      </c>
    </row>
    <row r="376" ht="12.75" customHeight="1">
      <c r="A376" s="3" t="s">
        <v>683</v>
      </c>
      <c r="B376" s="3" t="s">
        <v>684</v>
      </c>
      <c r="C376" s="3" t="s">
        <v>76</v>
      </c>
      <c r="D376" s="3" t="s">
        <v>24</v>
      </c>
      <c r="E376" s="3" t="s">
        <v>58</v>
      </c>
      <c r="F376" s="3" t="s">
        <v>21</v>
      </c>
      <c r="G376" s="3" t="s">
        <v>13</v>
      </c>
      <c r="H376" s="3">
        <v>7542.0</v>
      </c>
      <c r="I376" s="3" t="s">
        <v>37</v>
      </c>
      <c r="J376" s="3">
        <v>0.1</v>
      </c>
      <c r="K376" s="3">
        <v>9000.0</v>
      </c>
      <c r="L376" s="15" t="s">
        <v>316</v>
      </c>
      <c r="M376" s="3" t="str">
        <f t="shared" si="1"/>
        <v>Below Target</v>
      </c>
      <c r="N376" s="10">
        <f t="shared" si="2"/>
        <v>0.5135566188</v>
      </c>
      <c r="O376" s="11">
        <f t="shared" si="3"/>
        <v>0.1</v>
      </c>
      <c r="P376" s="12">
        <f t="shared" si="4"/>
        <v>6787.8</v>
      </c>
    </row>
    <row r="377" ht="12.75" customHeight="1">
      <c r="A377" s="3" t="s">
        <v>685</v>
      </c>
      <c r="B377" s="3" t="s">
        <v>627</v>
      </c>
      <c r="C377" s="3" t="s">
        <v>76</v>
      </c>
      <c r="D377" s="3" t="s">
        <v>24</v>
      </c>
      <c r="E377" s="3" t="s">
        <v>46</v>
      </c>
      <c r="F377" s="3" t="s">
        <v>41</v>
      </c>
      <c r="G377" s="3" t="s">
        <v>13</v>
      </c>
      <c r="H377" s="3">
        <v>8449.0</v>
      </c>
      <c r="I377" s="3" t="s">
        <v>42</v>
      </c>
      <c r="K377" s="3">
        <v>9000.0</v>
      </c>
      <c r="L377" s="15" t="s">
        <v>123</v>
      </c>
      <c r="M377" s="3" t="str">
        <f t="shared" si="1"/>
        <v>Below Target</v>
      </c>
      <c r="N377" s="10">
        <f t="shared" si="2"/>
        <v>0.5143769968</v>
      </c>
      <c r="O377" s="11" t="str">
        <f t="shared" si="3"/>
        <v/>
      </c>
      <c r="P377" s="12">
        <f t="shared" si="4"/>
        <v>7181.65</v>
      </c>
    </row>
    <row r="378" ht="12.75" customHeight="1">
      <c r="A378" s="3" t="s">
        <v>686</v>
      </c>
      <c r="B378" s="3" t="s">
        <v>248</v>
      </c>
      <c r="C378" s="3" t="s">
        <v>45</v>
      </c>
      <c r="D378" s="3" t="s">
        <v>22</v>
      </c>
      <c r="E378" s="3" t="s">
        <v>58</v>
      </c>
      <c r="F378" s="3" t="s">
        <v>41</v>
      </c>
      <c r="G378" s="3" t="s">
        <v>11</v>
      </c>
      <c r="H378" s="3">
        <v>16694.0</v>
      </c>
      <c r="K378" s="3">
        <v>17000.0</v>
      </c>
      <c r="L378" s="3" t="s">
        <v>324</v>
      </c>
      <c r="M378" s="3" t="str">
        <f t="shared" si="1"/>
        <v>Below Target</v>
      </c>
      <c r="N378" s="10">
        <f t="shared" si="2"/>
        <v>0.5152</v>
      </c>
      <c r="O378" s="11">
        <f t="shared" si="3"/>
        <v>0</v>
      </c>
      <c r="P378" s="12">
        <f t="shared" si="4"/>
        <v>16694</v>
      </c>
    </row>
    <row r="379" ht="12.75" customHeight="1">
      <c r="A379" s="3" t="s">
        <v>687</v>
      </c>
      <c r="B379" s="3" t="s">
        <v>220</v>
      </c>
      <c r="C379" s="3" t="s">
        <v>57</v>
      </c>
      <c r="D379" s="3" t="s">
        <v>19</v>
      </c>
      <c r="E379" s="3" t="s">
        <v>20</v>
      </c>
      <c r="F379" s="3" t="s">
        <v>52</v>
      </c>
      <c r="G379" s="3" t="s">
        <v>13</v>
      </c>
      <c r="H379" s="3">
        <v>13807.0</v>
      </c>
      <c r="K379" s="3">
        <v>13000.0</v>
      </c>
      <c r="L379" s="15" t="s">
        <v>103</v>
      </c>
      <c r="M379" s="3" t="str">
        <f t="shared" si="1"/>
        <v>Target Achieved</v>
      </c>
      <c r="N379" s="10">
        <f t="shared" si="2"/>
        <v>0.516025641</v>
      </c>
      <c r="O379" s="11">
        <f t="shared" si="3"/>
        <v>0</v>
      </c>
      <c r="P379" s="12">
        <f t="shared" si="4"/>
        <v>13807</v>
      </c>
    </row>
    <row r="380" ht="12.75" customHeight="1">
      <c r="A380" s="3" t="s">
        <v>688</v>
      </c>
      <c r="B380" s="3" t="s">
        <v>331</v>
      </c>
      <c r="C380" s="3" t="s">
        <v>45</v>
      </c>
      <c r="D380" s="3" t="s">
        <v>22</v>
      </c>
      <c r="E380" s="3" t="s">
        <v>58</v>
      </c>
      <c r="F380" s="3" t="s">
        <v>21</v>
      </c>
      <c r="G380" s="3" t="s">
        <v>13</v>
      </c>
      <c r="H380" s="3">
        <v>15259.0</v>
      </c>
      <c r="I380" s="3" t="s">
        <v>23</v>
      </c>
      <c r="J380" s="3">
        <v>0.2</v>
      </c>
      <c r="K380" s="3">
        <v>17000.0</v>
      </c>
      <c r="L380" s="3" t="s">
        <v>117</v>
      </c>
      <c r="M380" s="3" t="str">
        <f t="shared" si="1"/>
        <v>Below Target</v>
      </c>
      <c r="N380" s="10">
        <f t="shared" si="2"/>
        <v>0.5152487961</v>
      </c>
      <c r="O380" s="11">
        <f t="shared" si="3"/>
        <v>0.2</v>
      </c>
      <c r="P380" s="12">
        <f t="shared" si="4"/>
        <v>12207.2</v>
      </c>
    </row>
    <row r="381" ht="12.75" customHeight="1">
      <c r="A381" s="3" t="s">
        <v>689</v>
      </c>
      <c r="B381" s="3" t="s">
        <v>89</v>
      </c>
      <c r="C381" s="3" t="s">
        <v>45</v>
      </c>
      <c r="D381" s="3" t="s">
        <v>22</v>
      </c>
      <c r="E381" s="3" t="s">
        <v>58</v>
      </c>
      <c r="F381" s="3" t="s">
        <v>41</v>
      </c>
      <c r="G381" s="3" t="s">
        <v>11</v>
      </c>
      <c r="H381" s="3">
        <v>16030.0</v>
      </c>
      <c r="I381" s="3" t="s">
        <v>23</v>
      </c>
      <c r="J381" s="3">
        <v>0.2</v>
      </c>
      <c r="K381" s="3">
        <v>17000.0</v>
      </c>
      <c r="L381" s="3" t="s">
        <v>319</v>
      </c>
      <c r="M381" s="3" t="str">
        <f t="shared" si="1"/>
        <v>Below Target</v>
      </c>
      <c r="N381" s="10">
        <f t="shared" si="2"/>
        <v>0.5160771704</v>
      </c>
      <c r="O381" s="11">
        <f t="shared" si="3"/>
        <v>0.2</v>
      </c>
      <c r="P381" s="12">
        <f t="shared" si="4"/>
        <v>12824</v>
      </c>
    </row>
    <row r="382" ht="12.75" customHeight="1">
      <c r="A382" s="3" t="s">
        <v>690</v>
      </c>
      <c r="B382" s="3" t="s">
        <v>691</v>
      </c>
      <c r="C382" s="3" t="s">
        <v>57</v>
      </c>
      <c r="D382" s="3" t="s">
        <v>19</v>
      </c>
      <c r="E382" s="3" t="s">
        <v>58</v>
      </c>
      <c r="F382" s="3" t="s">
        <v>41</v>
      </c>
      <c r="G382" s="3" t="s">
        <v>13</v>
      </c>
      <c r="H382" s="3">
        <v>12247.0</v>
      </c>
      <c r="I382" s="3" t="s">
        <v>37</v>
      </c>
      <c r="J382" s="3">
        <v>0.1</v>
      </c>
      <c r="K382" s="3">
        <v>13000.0</v>
      </c>
      <c r="L382" s="15" t="s">
        <v>183</v>
      </c>
      <c r="M382" s="3" t="str">
        <f t="shared" si="1"/>
        <v>Below Target</v>
      </c>
      <c r="N382" s="10">
        <f t="shared" si="2"/>
        <v>0.5169082126</v>
      </c>
      <c r="O382" s="11">
        <f t="shared" si="3"/>
        <v>0.1</v>
      </c>
      <c r="P382" s="12">
        <f t="shared" si="4"/>
        <v>11022.3</v>
      </c>
    </row>
    <row r="383" ht="12.75" customHeight="1">
      <c r="A383" s="3" t="s">
        <v>692</v>
      </c>
      <c r="B383" s="3" t="s">
        <v>574</v>
      </c>
      <c r="C383" s="3" t="s">
        <v>76</v>
      </c>
      <c r="D383" s="3" t="s">
        <v>24</v>
      </c>
      <c r="E383" s="3" t="s">
        <v>58</v>
      </c>
      <c r="F383" s="3" t="s">
        <v>21</v>
      </c>
      <c r="G383" s="3" t="s">
        <v>11</v>
      </c>
      <c r="H383" s="3">
        <v>8763.0</v>
      </c>
      <c r="I383" s="3" t="s">
        <v>42</v>
      </c>
      <c r="K383" s="3">
        <v>9000.0</v>
      </c>
      <c r="L383" s="15" t="s">
        <v>353</v>
      </c>
      <c r="M383" s="3" t="str">
        <f t="shared" si="1"/>
        <v>Below Target</v>
      </c>
      <c r="N383" s="10">
        <f t="shared" si="2"/>
        <v>0.5177419355</v>
      </c>
      <c r="O383" s="11" t="str">
        <f t="shared" si="3"/>
        <v/>
      </c>
      <c r="P383" s="12">
        <f t="shared" si="4"/>
        <v>7448.55</v>
      </c>
    </row>
    <row r="384" ht="12.75" customHeight="1">
      <c r="A384" s="3" t="s">
        <v>693</v>
      </c>
      <c r="B384" s="3" t="s">
        <v>170</v>
      </c>
      <c r="C384" s="3" t="s">
        <v>57</v>
      </c>
      <c r="D384" s="3" t="s">
        <v>19</v>
      </c>
      <c r="E384" s="3" t="s">
        <v>58</v>
      </c>
      <c r="F384" s="3" t="s">
        <v>21</v>
      </c>
      <c r="G384" s="3" t="s">
        <v>13</v>
      </c>
      <c r="H384" s="3">
        <v>14950.0</v>
      </c>
      <c r="K384" s="3">
        <v>13000.0</v>
      </c>
      <c r="L384" s="3" t="s">
        <v>303</v>
      </c>
      <c r="M384" s="3" t="str">
        <f t="shared" si="1"/>
        <v>Target Achieved</v>
      </c>
      <c r="N384" s="10">
        <f t="shared" si="2"/>
        <v>0.5185783522</v>
      </c>
      <c r="O384" s="11">
        <f t="shared" si="3"/>
        <v>0</v>
      </c>
      <c r="P384" s="12">
        <f t="shared" si="4"/>
        <v>14950</v>
      </c>
    </row>
    <row r="385" ht="12.75" customHeight="1">
      <c r="A385" s="3" t="s">
        <v>694</v>
      </c>
      <c r="B385" s="3" t="s">
        <v>448</v>
      </c>
      <c r="C385" s="3" t="s">
        <v>76</v>
      </c>
      <c r="D385" s="3" t="s">
        <v>24</v>
      </c>
      <c r="E385" s="3" t="s">
        <v>20</v>
      </c>
      <c r="F385" s="3" t="s">
        <v>41</v>
      </c>
      <c r="G385" s="3" t="s">
        <v>11</v>
      </c>
      <c r="H385" s="3">
        <v>8540.0</v>
      </c>
      <c r="I385" s="3" t="s">
        <v>47</v>
      </c>
      <c r="J385" s="3">
        <v>0.3</v>
      </c>
      <c r="K385" s="3">
        <v>9000.0</v>
      </c>
      <c r="L385" s="3" t="s">
        <v>333</v>
      </c>
      <c r="M385" s="3" t="str">
        <f t="shared" si="1"/>
        <v>Below Target</v>
      </c>
      <c r="N385" s="10">
        <f t="shared" si="2"/>
        <v>0.5177993528</v>
      </c>
      <c r="O385" s="11">
        <f t="shared" si="3"/>
        <v>0.3</v>
      </c>
      <c r="P385" s="12">
        <f t="shared" si="4"/>
        <v>5978</v>
      </c>
    </row>
    <row r="386" ht="12.75" customHeight="1">
      <c r="A386" s="3" t="s">
        <v>695</v>
      </c>
      <c r="B386" s="3" t="s">
        <v>229</v>
      </c>
      <c r="C386" s="3" t="s">
        <v>45</v>
      </c>
      <c r="D386" s="3" t="s">
        <v>22</v>
      </c>
      <c r="E386" s="3" t="s">
        <v>46</v>
      </c>
      <c r="F386" s="3" t="s">
        <v>52</v>
      </c>
      <c r="G386" s="3" t="s">
        <v>13</v>
      </c>
      <c r="H386" s="3">
        <v>17425.0</v>
      </c>
      <c r="I386" s="3" t="s">
        <v>42</v>
      </c>
      <c r="K386" s="3">
        <v>17000.0</v>
      </c>
      <c r="L386" s="15" t="s">
        <v>316</v>
      </c>
      <c r="M386" s="3" t="str">
        <f t="shared" si="1"/>
        <v>Target Achieved</v>
      </c>
      <c r="N386" s="10">
        <f t="shared" si="2"/>
        <v>0.5186385737</v>
      </c>
      <c r="O386" s="11" t="str">
        <f t="shared" si="3"/>
        <v/>
      </c>
      <c r="P386" s="12">
        <f t="shared" si="4"/>
        <v>14811.25</v>
      </c>
    </row>
    <row r="387" ht="12.75" customHeight="1">
      <c r="A387" s="3" t="s">
        <v>696</v>
      </c>
      <c r="B387" s="3" t="s">
        <v>361</v>
      </c>
      <c r="C387" s="3" t="s">
        <v>18</v>
      </c>
      <c r="D387" s="3" t="s">
        <v>16</v>
      </c>
      <c r="E387" s="3" t="s">
        <v>20</v>
      </c>
      <c r="F387" s="3" t="s">
        <v>21</v>
      </c>
      <c r="G387" s="3" t="s">
        <v>12</v>
      </c>
      <c r="H387" s="3">
        <v>12858.0</v>
      </c>
      <c r="K387" s="3">
        <v>14000.0</v>
      </c>
      <c r="L387" s="3" t="s">
        <v>330</v>
      </c>
      <c r="M387" s="3" t="str">
        <f t="shared" si="1"/>
        <v>Below Target</v>
      </c>
      <c r="N387" s="10">
        <f t="shared" si="2"/>
        <v>0.5178571429</v>
      </c>
      <c r="O387" s="11">
        <f t="shared" si="3"/>
        <v>0</v>
      </c>
      <c r="P387" s="12">
        <f t="shared" si="4"/>
        <v>12858</v>
      </c>
    </row>
    <row r="388" ht="12.75" customHeight="1">
      <c r="A388" s="3" t="s">
        <v>697</v>
      </c>
      <c r="B388" s="3" t="s">
        <v>182</v>
      </c>
      <c r="C388" s="3" t="s">
        <v>18</v>
      </c>
      <c r="D388" s="3" t="s">
        <v>16</v>
      </c>
      <c r="E388" s="3" t="s">
        <v>58</v>
      </c>
      <c r="F388" s="3" t="s">
        <v>52</v>
      </c>
      <c r="G388" s="3" t="s">
        <v>11</v>
      </c>
      <c r="H388" s="3">
        <v>12570.0</v>
      </c>
      <c r="I388" s="3" t="s">
        <v>47</v>
      </c>
      <c r="J388" s="3">
        <v>0.3</v>
      </c>
      <c r="K388" s="3">
        <v>14000.0</v>
      </c>
      <c r="L388" s="3" t="s">
        <v>245</v>
      </c>
      <c r="M388" s="3" t="str">
        <f t="shared" si="1"/>
        <v>Below Target</v>
      </c>
      <c r="N388" s="10">
        <f t="shared" si="2"/>
        <v>0.518699187</v>
      </c>
      <c r="O388" s="11">
        <f t="shared" si="3"/>
        <v>0.3</v>
      </c>
      <c r="P388" s="12">
        <f t="shared" si="4"/>
        <v>8799</v>
      </c>
    </row>
    <row r="389" ht="12.75" customHeight="1">
      <c r="A389" s="3" t="s">
        <v>698</v>
      </c>
      <c r="B389" s="3" t="s">
        <v>379</v>
      </c>
      <c r="C389" s="3" t="s">
        <v>57</v>
      </c>
      <c r="D389" s="3" t="s">
        <v>19</v>
      </c>
      <c r="E389" s="3" t="s">
        <v>20</v>
      </c>
      <c r="F389" s="3" t="s">
        <v>21</v>
      </c>
      <c r="G389" s="3" t="s">
        <v>11</v>
      </c>
      <c r="H389" s="3">
        <v>11302.0</v>
      </c>
      <c r="K389" s="3">
        <v>13000.0</v>
      </c>
      <c r="L389" s="15" t="s">
        <v>130</v>
      </c>
      <c r="M389" s="3" t="str">
        <f t="shared" si="1"/>
        <v>Below Target</v>
      </c>
      <c r="N389" s="10">
        <f t="shared" si="2"/>
        <v>0.5195439739</v>
      </c>
      <c r="O389" s="11">
        <f t="shared" si="3"/>
        <v>0</v>
      </c>
      <c r="P389" s="12">
        <f t="shared" si="4"/>
        <v>11302</v>
      </c>
    </row>
    <row r="390" ht="12.75" customHeight="1">
      <c r="A390" s="3" t="s">
        <v>699</v>
      </c>
      <c r="B390" s="3" t="s">
        <v>700</v>
      </c>
      <c r="C390" s="3" t="s">
        <v>76</v>
      </c>
      <c r="D390" s="3" t="s">
        <v>24</v>
      </c>
      <c r="E390" s="3" t="s">
        <v>20</v>
      </c>
      <c r="F390" s="3" t="s">
        <v>52</v>
      </c>
      <c r="G390" s="3" t="s">
        <v>12</v>
      </c>
      <c r="H390" s="3">
        <v>8713.0</v>
      </c>
      <c r="I390" s="3" t="s">
        <v>42</v>
      </c>
      <c r="K390" s="3">
        <v>9000.0</v>
      </c>
      <c r="L390" s="15" t="s">
        <v>341</v>
      </c>
      <c r="M390" s="3" t="str">
        <f t="shared" si="1"/>
        <v>Below Target</v>
      </c>
      <c r="N390" s="10">
        <f t="shared" si="2"/>
        <v>0.5203915171</v>
      </c>
      <c r="O390" s="11" t="str">
        <f t="shared" si="3"/>
        <v/>
      </c>
      <c r="P390" s="12">
        <f t="shared" si="4"/>
        <v>7406.05</v>
      </c>
    </row>
    <row r="391" ht="12.75" customHeight="1">
      <c r="A391" s="3" t="s">
        <v>701</v>
      </c>
      <c r="B391" s="3" t="s">
        <v>702</v>
      </c>
      <c r="C391" s="3" t="s">
        <v>18</v>
      </c>
      <c r="D391" s="3" t="s">
        <v>16</v>
      </c>
      <c r="E391" s="3" t="s">
        <v>46</v>
      </c>
      <c r="F391" s="3" t="s">
        <v>41</v>
      </c>
      <c r="G391" s="3" t="s">
        <v>12</v>
      </c>
      <c r="H391" s="3">
        <v>14722.0</v>
      </c>
      <c r="I391" s="3" t="s">
        <v>47</v>
      </c>
      <c r="J391" s="3">
        <v>0.3</v>
      </c>
      <c r="K391" s="3">
        <v>14000.0</v>
      </c>
      <c r="L391" s="15" t="s">
        <v>103</v>
      </c>
      <c r="M391" s="3" t="str">
        <f t="shared" si="1"/>
        <v>Target Achieved</v>
      </c>
      <c r="N391" s="10">
        <f t="shared" si="2"/>
        <v>0.5212418301</v>
      </c>
      <c r="O391" s="11">
        <f t="shared" si="3"/>
        <v>0.3</v>
      </c>
      <c r="P391" s="12">
        <f t="shared" si="4"/>
        <v>10305.4</v>
      </c>
    </row>
    <row r="392" ht="12.75" customHeight="1">
      <c r="A392" s="3" t="s">
        <v>703</v>
      </c>
      <c r="B392" s="3" t="s">
        <v>207</v>
      </c>
      <c r="C392" s="3" t="s">
        <v>18</v>
      </c>
      <c r="D392" s="3" t="s">
        <v>16</v>
      </c>
      <c r="E392" s="3" t="s">
        <v>20</v>
      </c>
      <c r="F392" s="3" t="s">
        <v>52</v>
      </c>
      <c r="G392" s="3" t="s">
        <v>12</v>
      </c>
      <c r="H392" s="3">
        <v>14649.0</v>
      </c>
      <c r="K392" s="3">
        <v>14000.0</v>
      </c>
      <c r="L392" s="3" t="s">
        <v>323</v>
      </c>
      <c r="M392" s="3" t="str">
        <f t="shared" si="1"/>
        <v>Target Achieved</v>
      </c>
      <c r="N392" s="10">
        <f t="shared" si="2"/>
        <v>0.5204582651</v>
      </c>
      <c r="O392" s="11">
        <f t="shared" si="3"/>
        <v>0</v>
      </c>
      <c r="P392" s="12">
        <f t="shared" si="4"/>
        <v>14649</v>
      </c>
    </row>
    <row r="393" ht="12.75" customHeight="1">
      <c r="A393" s="3" t="s">
        <v>704</v>
      </c>
      <c r="B393" s="3" t="s">
        <v>578</v>
      </c>
      <c r="C393" s="3" t="s">
        <v>76</v>
      </c>
      <c r="D393" s="3" t="s">
        <v>24</v>
      </c>
      <c r="E393" s="3" t="s">
        <v>46</v>
      </c>
      <c r="F393" s="3" t="s">
        <v>41</v>
      </c>
      <c r="G393" s="3" t="s">
        <v>13</v>
      </c>
      <c r="H393" s="3">
        <v>8059.0</v>
      </c>
      <c r="I393" s="3" t="s">
        <v>23</v>
      </c>
      <c r="J393" s="3">
        <v>0.2</v>
      </c>
      <c r="K393" s="3">
        <v>9000.0</v>
      </c>
      <c r="L393" s="15" t="s">
        <v>155</v>
      </c>
      <c r="M393" s="3" t="str">
        <f t="shared" si="1"/>
        <v>Below Target</v>
      </c>
      <c r="N393" s="10">
        <f t="shared" si="2"/>
        <v>0.5196721311</v>
      </c>
      <c r="O393" s="11">
        <f t="shared" si="3"/>
        <v>0.2</v>
      </c>
      <c r="P393" s="12">
        <f t="shared" si="4"/>
        <v>6447.2</v>
      </c>
    </row>
    <row r="394" ht="12.75" customHeight="1">
      <c r="A394" s="3" t="s">
        <v>705</v>
      </c>
      <c r="B394" s="3" t="s">
        <v>136</v>
      </c>
      <c r="C394" s="3" t="s">
        <v>57</v>
      </c>
      <c r="D394" s="3" t="s">
        <v>19</v>
      </c>
      <c r="E394" s="3" t="s">
        <v>58</v>
      </c>
      <c r="F394" s="3" t="s">
        <v>21</v>
      </c>
      <c r="G394" s="3" t="s">
        <v>11</v>
      </c>
      <c r="H394" s="3">
        <v>12896.0</v>
      </c>
      <c r="I394" s="3" t="s">
        <v>42</v>
      </c>
      <c r="K394" s="3">
        <v>13000.0</v>
      </c>
      <c r="L394" s="3" t="s">
        <v>96</v>
      </c>
      <c r="M394" s="3" t="str">
        <f t="shared" si="1"/>
        <v>Below Target</v>
      </c>
      <c r="N394" s="10">
        <f t="shared" si="2"/>
        <v>0.5205254516</v>
      </c>
      <c r="O394" s="11" t="str">
        <f t="shared" si="3"/>
        <v/>
      </c>
      <c r="P394" s="12">
        <f t="shared" si="4"/>
        <v>10961.6</v>
      </c>
    </row>
    <row r="395" ht="12.75" customHeight="1">
      <c r="A395" s="3" t="s">
        <v>706</v>
      </c>
      <c r="B395" s="3" t="s">
        <v>105</v>
      </c>
      <c r="C395" s="3" t="s">
        <v>45</v>
      </c>
      <c r="D395" s="3" t="s">
        <v>22</v>
      </c>
      <c r="E395" s="3" t="s">
        <v>46</v>
      </c>
      <c r="F395" s="3" t="s">
        <v>21</v>
      </c>
      <c r="G395" s="3" t="s">
        <v>13</v>
      </c>
      <c r="H395" s="3">
        <v>16210.0</v>
      </c>
      <c r="K395" s="3">
        <v>17000.0</v>
      </c>
      <c r="L395" s="3" t="s">
        <v>340</v>
      </c>
      <c r="M395" s="3" t="str">
        <f t="shared" si="1"/>
        <v>Below Target</v>
      </c>
      <c r="N395" s="10">
        <f t="shared" si="2"/>
        <v>0.5213815789</v>
      </c>
      <c r="O395" s="11">
        <f t="shared" si="3"/>
        <v>0</v>
      </c>
      <c r="P395" s="12">
        <f t="shared" si="4"/>
        <v>16210</v>
      </c>
    </row>
    <row r="396" ht="12.75" customHeight="1">
      <c r="A396" s="3" t="s">
        <v>707</v>
      </c>
      <c r="B396" s="3" t="s">
        <v>102</v>
      </c>
      <c r="C396" s="3" t="s">
        <v>57</v>
      </c>
      <c r="D396" s="3" t="s">
        <v>19</v>
      </c>
      <c r="E396" s="3" t="s">
        <v>58</v>
      </c>
      <c r="F396" s="3" t="s">
        <v>21</v>
      </c>
      <c r="G396" s="3" t="s">
        <v>11</v>
      </c>
      <c r="H396" s="3">
        <v>12865.0</v>
      </c>
      <c r="I396" s="3" t="s">
        <v>23</v>
      </c>
      <c r="J396" s="3">
        <v>0.2</v>
      </c>
      <c r="K396" s="3">
        <v>13000.0</v>
      </c>
      <c r="L396" s="15" t="s">
        <v>344</v>
      </c>
      <c r="M396" s="3" t="str">
        <f t="shared" si="1"/>
        <v>Below Target</v>
      </c>
      <c r="N396" s="10">
        <f t="shared" si="2"/>
        <v>0.5222405272</v>
      </c>
      <c r="O396" s="11">
        <f t="shared" si="3"/>
        <v>0.2</v>
      </c>
      <c r="P396" s="12">
        <f t="shared" si="4"/>
        <v>10292</v>
      </c>
    </row>
    <row r="397" ht="12.75" customHeight="1">
      <c r="A397" s="3" t="s">
        <v>708</v>
      </c>
      <c r="B397" s="3" t="s">
        <v>240</v>
      </c>
      <c r="C397" s="3" t="s">
        <v>76</v>
      </c>
      <c r="D397" s="3" t="s">
        <v>24</v>
      </c>
      <c r="E397" s="3" t="s">
        <v>46</v>
      </c>
      <c r="F397" s="3" t="s">
        <v>21</v>
      </c>
      <c r="G397" s="3" t="s">
        <v>12</v>
      </c>
      <c r="H397" s="3">
        <v>9853.0</v>
      </c>
      <c r="K397" s="3">
        <v>9000.0</v>
      </c>
      <c r="L397" s="3" t="s">
        <v>303</v>
      </c>
      <c r="M397" s="3" t="str">
        <f t="shared" si="1"/>
        <v>Target Achieved</v>
      </c>
      <c r="N397" s="10">
        <f t="shared" si="2"/>
        <v>0.5231023102</v>
      </c>
      <c r="O397" s="11">
        <f t="shared" si="3"/>
        <v>0</v>
      </c>
      <c r="P397" s="12">
        <f t="shared" si="4"/>
        <v>9853</v>
      </c>
    </row>
    <row r="398" ht="12.75" customHeight="1">
      <c r="A398" s="3" t="s">
        <v>709</v>
      </c>
      <c r="B398" s="3" t="s">
        <v>351</v>
      </c>
      <c r="C398" s="3" t="s">
        <v>18</v>
      </c>
      <c r="D398" s="3" t="s">
        <v>16</v>
      </c>
      <c r="E398" s="3" t="s">
        <v>20</v>
      </c>
      <c r="F398" s="3" t="s">
        <v>41</v>
      </c>
      <c r="G398" s="3" t="s">
        <v>13</v>
      </c>
      <c r="H398" s="3">
        <v>15478.0</v>
      </c>
      <c r="I398" s="3" t="s">
        <v>47</v>
      </c>
      <c r="J398" s="3">
        <v>0.3</v>
      </c>
      <c r="K398" s="3">
        <v>14000.0</v>
      </c>
      <c r="L398" s="15" t="s">
        <v>313</v>
      </c>
      <c r="M398" s="3" t="str">
        <f t="shared" si="1"/>
        <v>Target Achieved</v>
      </c>
      <c r="N398" s="10">
        <f t="shared" si="2"/>
        <v>0.5223140496</v>
      </c>
      <c r="O398" s="11">
        <f t="shared" si="3"/>
        <v>0.3</v>
      </c>
      <c r="P398" s="12">
        <f t="shared" si="4"/>
        <v>10834.6</v>
      </c>
    </row>
    <row r="399" ht="12.75" customHeight="1">
      <c r="A399" s="3" t="s">
        <v>710</v>
      </c>
      <c r="B399" s="3" t="s">
        <v>36</v>
      </c>
      <c r="C399" s="3" t="s">
        <v>57</v>
      </c>
      <c r="D399" s="3" t="s">
        <v>19</v>
      </c>
      <c r="E399" s="3" t="s">
        <v>20</v>
      </c>
      <c r="F399" s="3" t="s">
        <v>41</v>
      </c>
      <c r="G399" s="3" t="s">
        <v>12</v>
      </c>
      <c r="H399" s="3">
        <v>11714.0</v>
      </c>
      <c r="I399" s="3" t="s">
        <v>42</v>
      </c>
      <c r="K399" s="3">
        <v>13000.0</v>
      </c>
      <c r="L399" s="15" t="s">
        <v>103</v>
      </c>
      <c r="M399" s="3" t="str">
        <f t="shared" si="1"/>
        <v>Below Target</v>
      </c>
      <c r="N399" s="10">
        <f t="shared" si="2"/>
        <v>0.5215231788</v>
      </c>
      <c r="O399" s="11" t="str">
        <f t="shared" si="3"/>
        <v/>
      </c>
      <c r="P399" s="12">
        <f t="shared" si="4"/>
        <v>9956.9</v>
      </c>
    </row>
    <row r="400" ht="12.75" customHeight="1">
      <c r="A400" s="3" t="s">
        <v>711</v>
      </c>
      <c r="B400" s="3" t="s">
        <v>396</v>
      </c>
      <c r="C400" s="3" t="s">
        <v>76</v>
      </c>
      <c r="D400" s="3" t="s">
        <v>24</v>
      </c>
      <c r="E400" s="3" t="s">
        <v>58</v>
      </c>
      <c r="F400" s="3" t="s">
        <v>41</v>
      </c>
      <c r="G400" s="3" t="s">
        <v>11</v>
      </c>
      <c r="H400" s="3">
        <v>9579.0</v>
      </c>
      <c r="I400" s="3" t="s">
        <v>23</v>
      </c>
      <c r="J400" s="3">
        <v>0.2</v>
      </c>
      <c r="K400" s="3">
        <v>9000.0</v>
      </c>
      <c r="L400" s="15" t="s">
        <v>316</v>
      </c>
      <c r="M400" s="3" t="str">
        <f t="shared" si="1"/>
        <v>Target Achieved</v>
      </c>
      <c r="N400" s="10">
        <f t="shared" si="2"/>
        <v>0.5223880597</v>
      </c>
      <c r="O400" s="11">
        <f t="shared" si="3"/>
        <v>0.2</v>
      </c>
      <c r="P400" s="12">
        <f t="shared" si="4"/>
        <v>7663.2</v>
      </c>
    </row>
    <row r="401" ht="12.75" customHeight="1">
      <c r="A401" s="3" t="s">
        <v>712</v>
      </c>
      <c r="B401" s="3" t="s">
        <v>122</v>
      </c>
      <c r="C401" s="3" t="s">
        <v>76</v>
      </c>
      <c r="D401" s="3" t="s">
        <v>24</v>
      </c>
      <c r="E401" s="3" t="s">
        <v>58</v>
      </c>
      <c r="F401" s="3" t="s">
        <v>41</v>
      </c>
      <c r="G401" s="3" t="s">
        <v>12</v>
      </c>
      <c r="H401" s="3">
        <v>9515.0</v>
      </c>
      <c r="I401" s="3" t="s">
        <v>23</v>
      </c>
      <c r="J401" s="3">
        <v>0.2</v>
      </c>
      <c r="K401" s="3">
        <v>9000.0</v>
      </c>
      <c r="L401" s="3" t="s">
        <v>203</v>
      </c>
      <c r="M401" s="3" t="str">
        <f t="shared" si="1"/>
        <v>Target Achieved</v>
      </c>
      <c r="N401" s="10">
        <f t="shared" si="2"/>
        <v>0.5215946844</v>
      </c>
      <c r="O401" s="11">
        <f t="shared" si="3"/>
        <v>0.2</v>
      </c>
      <c r="P401" s="12">
        <f t="shared" si="4"/>
        <v>7612</v>
      </c>
    </row>
    <row r="402" ht="12.75" customHeight="1">
      <c r="A402" s="3" t="s">
        <v>713</v>
      </c>
      <c r="B402" s="3" t="s">
        <v>434</v>
      </c>
      <c r="C402" s="3" t="s">
        <v>76</v>
      </c>
      <c r="D402" s="3" t="s">
        <v>24</v>
      </c>
      <c r="E402" s="3" t="s">
        <v>46</v>
      </c>
      <c r="F402" s="3" t="s">
        <v>52</v>
      </c>
      <c r="G402" s="3" t="s">
        <v>13</v>
      </c>
      <c r="H402" s="3">
        <v>7842.0</v>
      </c>
      <c r="I402" s="3" t="s">
        <v>47</v>
      </c>
      <c r="J402" s="3">
        <v>0.3</v>
      </c>
      <c r="K402" s="3">
        <v>9000.0</v>
      </c>
      <c r="L402" s="3" t="s">
        <v>323</v>
      </c>
      <c r="M402" s="3" t="str">
        <f t="shared" si="1"/>
        <v>Below Target</v>
      </c>
      <c r="N402" s="10">
        <f t="shared" si="2"/>
        <v>0.5207986689</v>
      </c>
      <c r="O402" s="11">
        <f t="shared" si="3"/>
        <v>0.3</v>
      </c>
      <c r="P402" s="12">
        <f t="shared" si="4"/>
        <v>5489.4</v>
      </c>
    </row>
    <row r="403" ht="12.75" customHeight="1">
      <c r="A403" s="3" t="s">
        <v>714</v>
      </c>
      <c r="B403" s="3" t="s">
        <v>368</v>
      </c>
      <c r="C403" s="3" t="s">
        <v>18</v>
      </c>
      <c r="D403" s="3" t="s">
        <v>16</v>
      </c>
      <c r="E403" s="3" t="s">
        <v>20</v>
      </c>
      <c r="F403" s="3" t="s">
        <v>41</v>
      </c>
      <c r="G403" s="3" t="s">
        <v>12</v>
      </c>
      <c r="H403" s="3">
        <v>12765.0</v>
      </c>
      <c r="I403" s="3" t="s">
        <v>47</v>
      </c>
      <c r="J403" s="3">
        <v>0.3</v>
      </c>
      <c r="K403" s="3">
        <v>14000.0</v>
      </c>
      <c r="L403" s="3" t="s">
        <v>303</v>
      </c>
      <c r="M403" s="3" t="str">
        <f t="shared" si="1"/>
        <v>Below Target</v>
      </c>
      <c r="N403" s="10">
        <f t="shared" si="2"/>
        <v>0.5216666667</v>
      </c>
      <c r="O403" s="11">
        <f t="shared" si="3"/>
        <v>0.3</v>
      </c>
      <c r="P403" s="12">
        <f t="shared" si="4"/>
        <v>8935.5</v>
      </c>
    </row>
    <row r="404" ht="12.75" customHeight="1">
      <c r="A404" s="3" t="s">
        <v>715</v>
      </c>
      <c r="B404" s="3" t="s">
        <v>44</v>
      </c>
      <c r="C404" s="3" t="s">
        <v>18</v>
      </c>
      <c r="D404" s="3" t="s">
        <v>16</v>
      </c>
      <c r="E404" s="3" t="s">
        <v>58</v>
      </c>
      <c r="F404" s="3" t="s">
        <v>52</v>
      </c>
      <c r="G404" s="3" t="s">
        <v>11</v>
      </c>
      <c r="H404" s="3">
        <v>14161.0</v>
      </c>
      <c r="I404" s="3" t="s">
        <v>47</v>
      </c>
      <c r="J404" s="3">
        <v>0.3</v>
      </c>
      <c r="K404" s="3">
        <v>14000.0</v>
      </c>
      <c r="L404" s="15" t="s">
        <v>130</v>
      </c>
      <c r="M404" s="3" t="str">
        <f t="shared" si="1"/>
        <v>Target Achieved</v>
      </c>
      <c r="N404" s="10">
        <f t="shared" si="2"/>
        <v>0.5225375626</v>
      </c>
      <c r="O404" s="11">
        <f t="shared" si="3"/>
        <v>0.3</v>
      </c>
      <c r="P404" s="12">
        <f t="shared" si="4"/>
        <v>9912.7</v>
      </c>
    </row>
    <row r="405" ht="12.75" customHeight="1">
      <c r="A405" s="3" t="s">
        <v>716</v>
      </c>
      <c r="B405" s="3" t="s">
        <v>717</v>
      </c>
      <c r="C405" s="3" t="s">
        <v>76</v>
      </c>
      <c r="D405" s="3" t="s">
        <v>24</v>
      </c>
      <c r="E405" s="3" t="s">
        <v>20</v>
      </c>
      <c r="F405" s="3" t="s">
        <v>41</v>
      </c>
      <c r="G405" s="3" t="s">
        <v>11</v>
      </c>
      <c r="H405" s="3">
        <v>8441.0</v>
      </c>
      <c r="K405" s="3">
        <v>9000.0</v>
      </c>
      <c r="L405" s="15" t="s">
        <v>322</v>
      </c>
      <c r="M405" s="3" t="str">
        <f t="shared" si="1"/>
        <v>Below Target</v>
      </c>
      <c r="N405" s="10">
        <f t="shared" si="2"/>
        <v>0.5217391304</v>
      </c>
      <c r="O405" s="11">
        <f t="shared" si="3"/>
        <v>0</v>
      </c>
      <c r="P405" s="12">
        <f t="shared" si="4"/>
        <v>8441</v>
      </c>
    </row>
    <row r="406" ht="12.75" customHeight="1">
      <c r="A406" s="3" t="s">
        <v>718</v>
      </c>
      <c r="B406" s="3" t="s">
        <v>719</v>
      </c>
      <c r="C406" s="3" t="s">
        <v>45</v>
      </c>
      <c r="D406" s="3" t="s">
        <v>22</v>
      </c>
      <c r="E406" s="3" t="s">
        <v>20</v>
      </c>
      <c r="F406" s="3" t="s">
        <v>52</v>
      </c>
      <c r="G406" s="3" t="s">
        <v>13</v>
      </c>
      <c r="H406" s="3">
        <v>17752.0</v>
      </c>
      <c r="I406" s="3" t="s">
        <v>23</v>
      </c>
      <c r="J406" s="3">
        <v>0.2</v>
      </c>
      <c r="K406" s="3">
        <v>17000.0</v>
      </c>
      <c r="L406" s="3" t="s">
        <v>303</v>
      </c>
      <c r="M406" s="3" t="str">
        <f t="shared" si="1"/>
        <v>Target Achieved</v>
      </c>
      <c r="N406" s="10">
        <f t="shared" si="2"/>
        <v>0.5226130653</v>
      </c>
      <c r="O406" s="11">
        <f t="shared" si="3"/>
        <v>0.2</v>
      </c>
      <c r="P406" s="12">
        <f t="shared" si="4"/>
        <v>14201.6</v>
      </c>
    </row>
    <row r="407" ht="12.75" customHeight="1">
      <c r="A407" s="3" t="s">
        <v>720</v>
      </c>
      <c r="B407" s="3" t="s">
        <v>310</v>
      </c>
      <c r="C407" s="3" t="s">
        <v>45</v>
      </c>
      <c r="D407" s="3" t="s">
        <v>22</v>
      </c>
      <c r="E407" s="3" t="s">
        <v>46</v>
      </c>
      <c r="F407" s="3" t="s">
        <v>41</v>
      </c>
      <c r="G407" s="3" t="s">
        <v>11</v>
      </c>
      <c r="H407" s="3">
        <v>17840.0</v>
      </c>
      <c r="I407" s="3" t="s">
        <v>23</v>
      </c>
      <c r="J407" s="3">
        <v>0.2</v>
      </c>
      <c r="K407" s="3">
        <v>17000.0</v>
      </c>
      <c r="L407" s="15" t="s">
        <v>155</v>
      </c>
      <c r="M407" s="3" t="str">
        <f t="shared" si="1"/>
        <v>Target Achieved</v>
      </c>
      <c r="N407" s="10">
        <f t="shared" si="2"/>
        <v>0.5218120805</v>
      </c>
      <c r="O407" s="11">
        <f t="shared" si="3"/>
        <v>0.2</v>
      </c>
      <c r="P407" s="12">
        <f t="shared" si="4"/>
        <v>14272</v>
      </c>
    </row>
    <row r="408" ht="12.75" customHeight="1">
      <c r="A408" s="3" t="s">
        <v>721</v>
      </c>
      <c r="B408" s="3" t="s">
        <v>225</v>
      </c>
      <c r="C408" s="3" t="s">
        <v>57</v>
      </c>
      <c r="D408" s="3" t="s">
        <v>19</v>
      </c>
      <c r="E408" s="3" t="s">
        <v>20</v>
      </c>
      <c r="F408" s="3" t="s">
        <v>21</v>
      </c>
      <c r="G408" s="3" t="s">
        <v>11</v>
      </c>
      <c r="H408" s="3">
        <v>11760.0</v>
      </c>
      <c r="K408" s="3">
        <v>13000.0</v>
      </c>
      <c r="L408" s="15" t="s">
        <v>312</v>
      </c>
      <c r="M408" s="3" t="str">
        <f t="shared" si="1"/>
        <v>Below Target</v>
      </c>
      <c r="N408" s="10">
        <f t="shared" si="2"/>
        <v>0.5210084034</v>
      </c>
      <c r="O408" s="11">
        <f t="shared" si="3"/>
        <v>0</v>
      </c>
      <c r="P408" s="12">
        <f t="shared" si="4"/>
        <v>11760</v>
      </c>
    </row>
    <row r="409" ht="12.75" customHeight="1">
      <c r="A409" s="3" t="s">
        <v>722</v>
      </c>
      <c r="B409" s="3" t="s">
        <v>648</v>
      </c>
      <c r="C409" s="3" t="s">
        <v>57</v>
      </c>
      <c r="D409" s="3" t="s">
        <v>19</v>
      </c>
      <c r="E409" s="3" t="s">
        <v>20</v>
      </c>
      <c r="F409" s="3" t="s">
        <v>41</v>
      </c>
      <c r="G409" s="3" t="s">
        <v>11</v>
      </c>
      <c r="H409" s="3">
        <v>12183.0</v>
      </c>
      <c r="I409" s="3" t="s">
        <v>23</v>
      </c>
      <c r="J409" s="3">
        <v>0.2</v>
      </c>
      <c r="K409" s="3">
        <v>13000.0</v>
      </c>
      <c r="L409" s="15" t="s">
        <v>316</v>
      </c>
      <c r="M409" s="3" t="str">
        <f t="shared" si="1"/>
        <v>Below Target</v>
      </c>
      <c r="N409" s="10">
        <f t="shared" si="2"/>
        <v>0.5218855219</v>
      </c>
      <c r="O409" s="11">
        <f t="shared" si="3"/>
        <v>0.2</v>
      </c>
      <c r="P409" s="12">
        <f t="shared" si="4"/>
        <v>9746.4</v>
      </c>
    </row>
    <row r="410" ht="12.75" customHeight="1">
      <c r="A410" s="3" t="s">
        <v>723</v>
      </c>
      <c r="B410" s="3" t="s">
        <v>724</v>
      </c>
      <c r="C410" s="3" t="s">
        <v>76</v>
      </c>
      <c r="D410" s="3" t="s">
        <v>24</v>
      </c>
      <c r="E410" s="3" t="s">
        <v>20</v>
      </c>
      <c r="F410" s="3" t="s">
        <v>41</v>
      </c>
      <c r="G410" s="3" t="s">
        <v>11</v>
      </c>
      <c r="H410" s="3">
        <v>10898.0</v>
      </c>
      <c r="I410" s="3" t="s">
        <v>37</v>
      </c>
      <c r="J410" s="3">
        <v>0.1</v>
      </c>
      <c r="K410" s="3">
        <v>9000.0</v>
      </c>
      <c r="L410" s="15" t="s">
        <v>177</v>
      </c>
      <c r="M410" s="3" t="str">
        <f t="shared" si="1"/>
        <v>Target Achieved</v>
      </c>
      <c r="N410" s="10">
        <f t="shared" si="2"/>
        <v>0.5227655987</v>
      </c>
      <c r="O410" s="11">
        <f t="shared" si="3"/>
        <v>0.1</v>
      </c>
      <c r="P410" s="12">
        <f t="shared" si="4"/>
        <v>9808.2</v>
      </c>
    </row>
    <row r="411" ht="12.75" customHeight="1">
      <c r="A411" s="3" t="s">
        <v>725</v>
      </c>
      <c r="B411" s="3" t="s">
        <v>49</v>
      </c>
      <c r="C411" s="3" t="s">
        <v>76</v>
      </c>
      <c r="D411" s="3" t="s">
        <v>24</v>
      </c>
      <c r="E411" s="3" t="s">
        <v>20</v>
      </c>
      <c r="F411" s="3" t="s">
        <v>52</v>
      </c>
      <c r="G411" s="3" t="s">
        <v>12</v>
      </c>
      <c r="H411" s="3">
        <v>9027.0</v>
      </c>
      <c r="K411" s="3">
        <v>9000.0</v>
      </c>
      <c r="L411" s="3" t="s">
        <v>238</v>
      </c>
      <c r="M411" s="3" t="str">
        <f t="shared" si="1"/>
        <v>Target Achieved</v>
      </c>
      <c r="N411" s="10">
        <f t="shared" si="2"/>
        <v>0.5219594595</v>
      </c>
      <c r="O411" s="11">
        <f t="shared" si="3"/>
        <v>0</v>
      </c>
      <c r="P411" s="12">
        <f t="shared" si="4"/>
        <v>9027</v>
      </c>
    </row>
    <row r="412" ht="12.75" customHeight="1">
      <c r="A412" s="3" t="s">
        <v>726</v>
      </c>
      <c r="B412" s="3" t="s">
        <v>64</v>
      </c>
      <c r="C412" s="3" t="s">
        <v>76</v>
      </c>
      <c r="D412" s="3" t="s">
        <v>24</v>
      </c>
      <c r="E412" s="3" t="s">
        <v>58</v>
      </c>
      <c r="F412" s="3" t="s">
        <v>41</v>
      </c>
      <c r="G412" s="3" t="s">
        <v>13</v>
      </c>
      <c r="H412" s="3">
        <v>9315.0</v>
      </c>
      <c r="I412" s="3" t="s">
        <v>37</v>
      </c>
      <c r="J412" s="3">
        <v>0.1</v>
      </c>
      <c r="K412" s="3">
        <v>9000.0</v>
      </c>
      <c r="L412" s="3" t="s">
        <v>328</v>
      </c>
      <c r="M412" s="3" t="str">
        <f t="shared" si="1"/>
        <v>Target Achieved</v>
      </c>
      <c r="N412" s="10">
        <f t="shared" si="2"/>
        <v>0.5211505922</v>
      </c>
      <c r="O412" s="11">
        <f t="shared" si="3"/>
        <v>0.1</v>
      </c>
      <c r="P412" s="12">
        <f t="shared" si="4"/>
        <v>8383.5</v>
      </c>
    </row>
    <row r="413" ht="12.75" customHeight="1">
      <c r="A413" s="3" t="s">
        <v>727</v>
      </c>
      <c r="B413" s="3" t="s">
        <v>388</v>
      </c>
      <c r="C413" s="3" t="s">
        <v>45</v>
      </c>
      <c r="D413" s="3" t="s">
        <v>22</v>
      </c>
      <c r="E413" s="3" t="s">
        <v>46</v>
      </c>
      <c r="F413" s="3" t="s">
        <v>21</v>
      </c>
      <c r="G413" s="3" t="s">
        <v>13</v>
      </c>
      <c r="H413" s="3">
        <v>17202.0</v>
      </c>
      <c r="I413" s="3" t="s">
        <v>47</v>
      </c>
      <c r="J413" s="3">
        <v>0.3</v>
      </c>
      <c r="K413" s="3">
        <v>17000.0</v>
      </c>
      <c r="L413" s="15" t="s">
        <v>103</v>
      </c>
      <c r="M413" s="3" t="str">
        <f t="shared" si="1"/>
        <v>Target Achieved</v>
      </c>
      <c r="N413" s="10">
        <f t="shared" si="2"/>
        <v>0.5203389831</v>
      </c>
      <c r="O413" s="11">
        <f t="shared" si="3"/>
        <v>0.3</v>
      </c>
      <c r="P413" s="12">
        <f t="shared" si="4"/>
        <v>12041.4</v>
      </c>
    </row>
    <row r="414" ht="12.75" customHeight="1">
      <c r="A414" s="3" t="s">
        <v>728</v>
      </c>
      <c r="B414" s="3" t="s">
        <v>392</v>
      </c>
      <c r="C414" s="3" t="s">
        <v>76</v>
      </c>
      <c r="D414" s="3" t="s">
        <v>24</v>
      </c>
      <c r="E414" s="3" t="s">
        <v>20</v>
      </c>
      <c r="F414" s="3" t="s">
        <v>52</v>
      </c>
      <c r="G414" s="3" t="s">
        <v>13</v>
      </c>
      <c r="H414" s="3">
        <v>9345.0</v>
      </c>
      <c r="I414" s="3" t="s">
        <v>37</v>
      </c>
      <c r="J414" s="3">
        <v>0.1</v>
      </c>
      <c r="K414" s="3">
        <v>9000.0</v>
      </c>
      <c r="L414" s="3" t="s">
        <v>73</v>
      </c>
      <c r="M414" s="3" t="str">
        <f t="shared" si="1"/>
        <v>Target Achieved</v>
      </c>
      <c r="N414" s="10">
        <f t="shared" si="2"/>
        <v>0.519524618</v>
      </c>
      <c r="O414" s="11">
        <f t="shared" si="3"/>
        <v>0.1</v>
      </c>
      <c r="P414" s="12">
        <f t="shared" si="4"/>
        <v>8410.5</v>
      </c>
    </row>
    <row r="415" ht="12.75" customHeight="1">
      <c r="A415" s="3" t="s">
        <v>729</v>
      </c>
      <c r="B415" s="3" t="s">
        <v>172</v>
      </c>
      <c r="C415" s="3" t="s">
        <v>45</v>
      </c>
      <c r="D415" s="3" t="s">
        <v>22</v>
      </c>
      <c r="E415" s="3" t="s">
        <v>20</v>
      </c>
      <c r="F415" s="3" t="s">
        <v>41</v>
      </c>
      <c r="G415" s="3" t="s">
        <v>12</v>
      </c>
      <c r="H415" s="3">
        <v>16807.0</v>
      </c>
      <c r="I415" s="3" t="s">
        <v>42</v>
      </c>
      <c r="K415" s="3">
        <v>17000.0</v>
      </c>
      <c r="L415" s="3" t="s">
        <v>65</v>
      </c>
      <c r="M415" s="3" t="str">
        <f t="shared" si="1"/>
        <v>Below Target</v>
      </c>
      <c r="N415" s="10">
        <f t="shared" si="2"/>
        <v>0.518707483</v>
      </c>
      <c r="O415" s="11" t="str">
        <f t="shared" si="3"/>
        <v/>
      </c>
      <c r="P415" s="12">
        <f t="shared" si="4"/>
        <v>14285.95</v>
      </c>
    </row>
    <row r="416" ht="12.75" customHeight="1">
      <c r="A416" s="3" t="s">
        <v>730</v>
      </c>
      <c r="B416" s="3" t="s">
        <v>54</v>
      </c>
      <c r="C416" s="3" t="s">
        <v>57</v>
      </c>
      <c r="D416" s="3" t="s">
        <v>19</v>
      </c>
      <c r="E416" s="3" t="s">
        <v>58</v>
      </c>
      <c r="F416" s="3" t="s">
        <v>41</v>
      </c>
      <c r="G416" s="3" t="s">
        <v>11</v>
      </c>
      <c r="H416" s="3">
        <v>12076.0</v>
      </c>
      <c r="I416" s="3" t="s">
        <v>47</v>
      </c>
      <c r="J416" s="3">
        <v>0.3</v>
      </c>
      <c r="K416" s="3">
        <v>13000.0</v>
      </c>
      <c r="L416" s="3" t="s">
        <v>139</v>
      </c>
      <c r="M416" s="3" t="str">
        <f t="shared" si="1"/>
        <v>Below Target</v>
      </c>
      <c r="N416" s="10">
        <f t="shared" si="2"/>
        <v>0.5195911414</v>
      </c>
      <c r="O416" s="11">
        <f t="shared" si="3"/>
        <v>0.3</v>
      </c>
      <c r="P416" s="12">
        <f t="shared" si="4"/>
        <v>8453.2</v>
      </c>
    </row>
    <row r="417" ht="12.75" customHeight="1">
      <c r="A417" s="3" t="s">
        <v>731</v>
      </c>
      <c r="B417" s="3" t="s">
        <v>127</v>
      </c>
      <c r="C417" s="3" t="s">
        <v>76</v>
      </c>
      <c r="D417" s="3" t="s">
        <v>24</v>
      </c>
      <c r="E417" s="3" t="s">
        <v>46</v>
      </c>
      <c r="F417" s="3" t="s">
        <v>41</v>
      </c>
      <c r="G417" s="3" t="s">
        <v>13</v>
      </c>
      <c r="H417" s="3">
        <v>10320.0</v>
      </c>
      <c r="I417" s="3" t="s">
        <v>42</v>
      </c>
      <c r="K417" s="3">
        <v>9000.0</v>
      </c>
      <c r="L417" s="3" t="s">
        <v>96</v>
      </c>
      <c r="M417" s="3" t="str">
        <f t="shared" si="1"/>
        <v>Target Achieved</v>
      </c>
      <c r="N417" s="10">
        <f t="shared" si="2"/>
        <v>0.5204778157</v>
      </c>
      <c r="O417" s="11" t="str">
        <f t="shared" si="3"/>
        <v/>
      </c>
      <c r="P417" s="12">
        <f t="shared" si="4"/>
        <v>8772</v>
      </c>
    </row>
    <row r="418" ht="12.75" customHeight="1">
      <c r="A418" s="3" t="s">
        <v>732</v>
      </c>
      <c r="B418" s="3" t="s">
        <v>724</v>
      </c>
      <c r="C418" s="3" t="s">
        <v>76</v>
      </c>
      <c r="D418" s="3" t="s">
        <v>24</v>
      </c>
      <c r="E418" s="3" t="s">
        <v>46</v>
      </c>
      <c r="F418" s="3" t="s">
        <v>52</v>
      </c>
      <c r="G418" s="3" t="s">
        <v>13</v>
      </c>
      <c r="H418" s="3">
        <v>10214.0</v>
      </c>
      <c r="I418" s="3" t="s">
        <v>23</v>
      </c>
      <c r="J418" s="3">
        <v>0.2</v>
      </c>
      <c r="K418" s="3">
        <v>9000.0</v>
      </c>
      <c r="L418" s="3" t="s">
        <v>333</v>
      </c>
      <c r="M418" s="3" t="str">
        <f t="shared" si="1"/>
        <v>Target Achieved</v>
      </c>
      <c r="N418" s="10">
        <f t="shared" si="2"/>
        <v>0.5196581197</v>
      </c>
      <c r="O418" s="11">
        <f t="shared" si="3"/>
        <v>0.2</v>
      </c>
      <c r="P418" s="12">
        <f t="shared" si="4"/>
        <v>8171.2</v>
      </c>
    </row>
    <row r="419" ht="12.75" customHeight="1">
      <c r="A419" s="3" t="s">
        <v>733</v>
      </c>
      <c r="B419" s="3" t="s">
        <v>501</v>
      </c>
      <c r="C419" s="3" t="s">
        <v>18</v>
      </c>
      <c r="D419" s="3" t="s">
        <v>16</v>
      </c>
      <c r="E419" s="3" t="s">
        <v>20</v>
      </c>
      <c r="F419" s="3" t="s">
        <v>21</v>
      </c>
      <c r="G419" s="3" t="s">
        <v>12</v>
      </c>
      <c r="H419" s="3">
        <v>13151.0</v>
      </c>
      <c r="I419" s="3" t="s">
        <v>42</v>
      </c>
      <c r="K419" s="3">
        <v>14000.0</v>
      </c>
      <c r="L419" s="15" t="s">
        <v>348</v>
      </c>
      <c r="M419" s="3" t="str">
        <f t="shared" si="1"/>
        <v>Below Target</v>
      </c>
      <c r="N419" s="10">
        <f t="shared" si="2"/>
        <v>0.5188356164</v>
      </c>
      <c r="O419" s="11" t="str">
        <f t="shared" si="3"/>
        <v/>
      </c>
      <c r="P419" s="12">
        <f t="shared" si="4"/>
        <v>11178.35</v>
      </c>
    </row>
    <row r="420" ht="12.75" customHeight="1">
      <c r="A420" s="3" t="s">
        <v>734</v>
      </c>
      <c r="B420" s="3" t="s">
        <v>98</v>
      </c>
      <c r="C420" s="3" t="s">
        <v>45</v>
      </c>
      <c r="D420" s="3" t="s">
        <v>22</v>
      </c>
      <c r="E420" s="3" t="s">
        <v>58</v>
      </c>
      <c r="F420" s="3" t="s">
        <v>52</v>
      </c>
      <c r="G420" s="3" t="s">
        <v>11</v>
      </c>
      <c r="H420" s="3">
        <v>18901.0</v>
      </c>
      <c r="I420" s="3" t="s">
        <v>42</v>
      </c>
      <c r="K420" s="3">
        <v>17000.0</v>
      </c>
      <c r="L420" s="3" t="s">
        <v>338</v>
      </c>
      <c r="M420" s="3" t="str">
        <f t="shared" si="1"/>
        <v>Target Achieved</v>
      </c>
      <c r="N420" s="10">
        <f t="shared" si="2"/>
        <v>0.5197255575</v>
      </c>
      <c r="O420" s="11" t="str">
        <f t="shared" si="3"/>
        <v/>
      </c>
      <c r="P420" s="12">
        <f t="shared" si="4"/>
        <v>16065.85</v>
      </c>
    </row>
    <row r="421" ht="12.75" customHeight="1">
      <c r="A421" s="3" t="s">
        <v>735</v>
      </c>
      <c r="B421" s="3" t="s">
        <v>257</v>
      </c>
      <c r="C421" s="3" t="s">
        <v>18</v>
      </c>
      <c r="D421" s="3" t="s">
        <v>16</v>
      </c>
      <c r="E421" s="3" t="s">
        <v>46</v>
      </c>
      <c r="F421" s="3" t="s">
        <v>21</v>
      </c>
      <c r="G421" s="3" t="s">
        <v>13</v>
      </c>
      <c r="H421" s="3">
        <v>13135.0</v>
      </c>
      <c r="I421" s="3" t="s">
        <v>23</v>
      </c>
      <c r="J421" s="3">
        <v>0.2</v>
      </c>
      <c r="K421" s="3">
        <v>14000.0</v>
      </c>
      <c r="L421" s="3" t="s">
        <v>96</v>
      </c>
      <c r="M421" s="3" t="str">
        <f t="shared" si="1"/>
        <v>Below Target</v>
      </c>
      <c r="N421" s="10">
        <f t="shared" si="2"/>
        <v>0.5189003436</v>
      </c>
      <c r="O421" s="11">
        <f t="shared" si="3"/>
        <v>0.2</v>
      </c>
      <c r="P421" s="12">
        <f t="shared" si="4"/>
        <v>10508</v>
      </c>
    </row>
    <row r="422" ht="12.75" customHeight="1">
      <c r="A422" s="3" t="s">
        <v>736</v>
      </c>
      <c r="B422" s="3" t="s">
        <v>512</v>
      </c>
      <c r="C422" s="3" t="s">
        <v>57</v>
      </c>
      <c r="D422" s="3" t="s">
        <v>19</v>
      </c>
      <c r="E422" s="3" t="s">
        <v>46</v>
      </c>
      <c r="F422" s="3" t="s">
        <v>52</v>
      </c>
      <c r="G422" s="3" t="s">
        <v>11</v>
      </c>
      <c r="H422" s="3">
        <v>14393.0</v>
      </c>
      <c r="I422" s="3" t="s">
        <v>23</v>
      </c>
      <c r="J422" s="3">
        <v>0.2</v>
      </c>
      <c r="K422" s="3">
        <v>13000.0</v>
      </c>
      <c r="L422" s="3" t="s">
        <v>323</v>
      </c>
      <c r="M422" s="3" t="str">
        <f t="shared" si="1"/>
        <v>Target Achieved</v>
      </c>
      <c r="N422" s="10">
        <f t="shared" si="2"/>
        <v>0.5197934596</v>
      </c>
      <c r="O422" s="11">
        <f t="shared" si="3"/>
        <v>0.2</v>
      </c>
      <c r="P422" s="12">
        <f t="shared" si="4"/>
        <v>11514.4</v>
      </c>
    </row>
    <row r="423" ht="12.75" customHeight="1">
      <c r="A423" s="3" t="s">
        <v>737</v>
      </c>
      <c r="B423" s="3" t="s">
        <v>251</v>
      </c>
      <c r="C423" s="3" t="s">
        <v>76</v>
      </c>
      <c r="D423" s="3" t="s">
        <v>24</v>
      </c>
      <c r="E423" s="3" t="s">
        <v>58</v>
      </c>
      <c r="F423" s="3" t="s">
        <v>41</v>
      </c>
      <c r="G423" s="3" t="s">
        <v>12</v>
      </c>
      <c r="H423" s="3">
        <v>9590.0</v>
      </c>
      <c r="I423" s="3" t="s">
        <v>47</v>
      </c>
      <c r="J423" s="3">
        <v>0.3</v>
      </c>
      <c r="K423" s="3">
        <v>9000.0</v>
      </c>
      <c r="L423" s="15" t="s">
        <v>312</v>
      </c>
      <c r="M423" s="3" t="str">
        <f t="shared" si="1"/>
        <v>Target Achieved</v>
      </c>
      <c r="N423" s="10">
        <f t="shared" si="2"/>
        <v>0.5189655172</v>
      </c>
      <c r="O423" s="11">
        <f t="shared" si="3"/>
        <v>0.3</v>
      </c>
      <c r="P423" s="12">
        <f t="shared" si="4"/>
        <v>6713</v>
      </c>
    </row>
    <row r="424" ht="12.75" customHeight="1">
      <c r="A424" s="3" t="s">
        <v>738</v>
      </c>
      <c r="B424" s="3" t="s">
        <v>225</v>
      </c>
      <c r="C424" s="3" t="s">
        <v>76</v>
      </c>
      <c r="D424" s="3" t="s">
        <v>24</v>
      </c>
      <c r="E424" s="3" t="s">
        <v>46</v>
      </c>
      <c r="F424" s="3" t="s">
        <v>52</v>
      </c>
      <c r="G424" s="3" t="s">
        <v>13</v>
      </c>
      <c r="H424" s="3">
        <v>8650.0</v>
      </c>
      <c r="I424" s="3" t="s">
        <v>42</v>
      </c>
      <c r="K424" s="3">
        <v>9000.0</v>
      </c>
      <c r="L424" s="3" t="s">
        <v>38</v>
      </c>
      <c r="M424" s="3" t="str">
        <f t="shared" si="1"/>
        <v>Below Target</v>
      </c>
      <c r="N424" s="10">
        <f t="shared" si="2"/>
        <v>0.518134715</v>
      </c>
      <c r="O424" s="11" t="str">
        <f t="shared" si="3"/>
        <v/>
      </c>
      <c r="P424" s="12">
        <f t="shared" si="4"/>
        <v>7352.5</v>
      </c>
    </row>
    <row r="425" ht="12.75" customHeight="1">
      <c r="A425" s="3" t="s">
        <v>739</v>
      </c>
      <c r="B425" s="3" t="s">
        <v>448</v>
      </c>
      <c r="C425" s="3" t="s">
        <v>45</v>
      </c>
      <c r="D425" s="3" t="s">
        <v>22</v>
      </c>
      <c r="E425" s="3" t="s">
        <v>58</v>
      </c>
      <c r="F425" s="3" t="s">
        <v>21</v>
      </c>
      <c r="G425" s="3" t="s">
        <v>11</v>
      </c>
      <c r="H425" s="3">
        <v>17383.0</v>
      </c>
      <c r="I425" s="3" t="s">
        <v>37</v>
      </c>
      <c r="J425" s="3">
        <v>0.1</v>
      </c>
      <c r="K425" s="3">
        <v>17000.0</v>
      </c>
      <c r="L425" s="3" t="s">
        <v>139</v>
      </c>
      <c r="M425" s="3" t="str">
        <f t="shared" si="1"/>
        <v>Target Achieved</v>
      </c>
      <c r="N425" s="10">
        <f t="shared" si="2"/>
        <v>0.5190311419</v>
      </c>
      <c r="O425" s="11">
        <f t="shared" si="3"/>
        <v>0.1</v>
      </c>
      <c r="P425" s="12">
        <f t="shared" si="4"/>
        <v>15644.7</v>
      </c>
    </row>
    <row r="426" ht="12.75" customHeight="1">
      <c r="A426" s="3" t="s">
        <v>740</v>
      </c>
      <c r="B426" s="3" t="s">
        <v>180</v>
      </c>
      <c r="C426" s="3" t="s">
        <v>18</v>
      </c>
      <c r="D426" s="3" t="s">
        <v>16</v>
      </c>
      <c r="E426" s="3" t="s">
        <v>20</v>
      </c>
      <c r="F426" s="3" t="s">
        <v>21</v>
      </c>
      <c r="G426" s="3" t="s">
        <v>12</v>
      </c>
      <c r="H426" s="3">
        <v>14720.0</v>
      </c>
      <c r="I426" s="3" t="s">
        <v>47</v>
      </c>
      <c r="J426" s="3">
        <v>0.3</v>
      </c>
      <c r="K426" s="3">
        <v>14000.0</v>
      </c>
      <c r="L426" s="3" t="s">
        <v>77</v>
      </c>
      <c r="M426" s="3" t="str">
        <f t="shared" si="1"/>
        <v>Target Achieved</v>
      </c>
      <c r="N426" s="10">
        <f t="shared" si="2"/>
        <v>0.5181975737</v>
      </c>
      <c r="O426" s="11">
        <f t="shared" si="3"/>
        <v>0.3</v>
      </c>
      <c r="P426" s="12">
        <f t="shared" si="4"/>
        <v>10304</v>
      </c>
    </row>
    <row r="427" ht="12.75" customHeight="1">
      <c r="A427" s="3" t="s">
        <v>741</v>
      </c>
      <c r="B427" s="3" t="s">
        <v>253</v>
      </c>
      <c r="C427" s="3" t="s">
        <v>76</v>
      </c>
      <c r="D427" s="3" t="s">
        <v>24</v>
      </c>
      <c r="E427" s="3" t="s">
        <v>46</v>
      </c>
      <c r="F427" s="3" t="s">
        <v>21</v>
      </c>
      <c r="G427" s="3" t="s">
        <v>13</v>
      </c>
      <c r="H427" s="3">
        <v>9026.0</v>
      </c>
      <c r="I427" s="3" t="s">
        <v>47</v>
      </c>
      <c r="J427" s="3">
        <v>0.3</v>
      </c>
      <c r="K427" s="3">
        <v>9000.0</v>
      </c>
      <c r="L427" s="3" t="s">
        <v>303</v>
      </c>
      <c r="M427" s="3" t="str">
        <f t="shared" si="1"/>
        <v>Target Achieved</v>
      </c>
      <c r="N427" s="10">
        <f t="shared" si="2"/>
        <v>0.5173611111</v>
      </c>
      <c r="O427" s="11">
        <f t="shared" si="3"/>
        <v>0.3</v>
      </c>
      <c r="P427" s="12">
        <f t="shared" si="4"/>
        <v>6318.2</v>
      </c>
    </row>
    <row r="428" ht="12.75" customHeight="1">
      <c r="A428" s="3" t="s">
        <v>742</v>
      </c>
      <c r="B428" s="3" t="s">
        <v>743</v>
      </c>
      <c r="C428" s="3" t="s">
        <v>45</v>
      </c>
      <c r="D428" s="3" t="s">
        <v>22</v>
      </c>
      <c r="E428" s="3" t="s">
        <v>20</v>
      </c>
      <c r="F428" s="3" t="s">
        <v>52</v>
      </c>
      <c r="G428" s="3" t="s">
        <v>13</v>
      </c>
      <c r="H428" s="3">
        <v>17318.0</v>
      </c>
      <c r="K428" s="3">
        <v>17000.0</v>
      </c>
      <c r="L428" s="3" t="s">
        <v>328</v>
      </c>
      <c r="M428" s="3" t="str">
        <f t="shared" si="1"/>
        <v>Target Achieved</v>
      </c>
      <c r="N428" s="10">
        <f t="shared" si="2"/>
        <v>0.5165217391</v>
      </c>
      <c r="O428" s="11">
        <f t="shared" si="3"/>
        <v>0</v>
      </c>
      <c r="P428" s="12">
        <f t="shared" si="4"/>
        <v>17318</v>
      </c>
    </row>
    <row r="429" ht="12.75" customHeight="1">
      <c r="A429" s="3" t="s">
        <v>744</v>
      </c>
      <c r="B429" s="3" t="s">
        <v>192</v>
      </c>
      <c r="C429" s="3" t="s">
        <v>18</v>
      </c>
      <c r="D429" s="3" t="s">
        <v>16</v>
      </c>
      <c r="E429" s="3" t="s">
        <v>46</v>
      </c>
      <c r="F429" s="3" t="s">
        <v>41</v>
      </c>
      <c r="G429" s="3" t="s">
        <v>12</v>
      </c>
      <c r="H429" s="3">
        <v>15210.0</v>
      </c>
      <c r="K429" s="3">
        <v>14000.0</v>
      </c>
      <c r="L429" s="15" t="s">
        <v>211</v>
      </c>
      <c r="M429" s="3" t="str">
        <f t="shared" si="1"/>
        <v>Target Achieved</v>
      </c>
      <c r="N429" s="10">
        <f t="shared" si="2"/>
        <v>0.5156794425</v>
      </c>
      <c r="O429" s="11">
        <f t="shared" si="3"/>
        <v>0</v>
      </c>
      <c r="P429" s="12">
        <f t="shared" si="4"/>
        <v>15210</v>
      </c>
    </row>
    <row r="430" ht="12.75" customHeight="1">
      <c r="A430" s="3" t="s">
        <v>745</v>
      </c>
      <c r="B430" s="3" t="s">
        <v>202</v>
      </c>
      <c r="C430" s="3" t="s">
        <v>57</v>
      </c>
      <c r="D430" s="3" t="s">
        <v>19</v>
      </c>
      <c r="E430" s="3" t="s">
        <v>58</v>
      </c>
      <c r="F430" s="3" t="s">
        <v>21</v>
      </c>
      <c r="G430" s="3" t="s">
        <v>13</v>
      </c>
      <c r="H430" s="3">
        <v>14924.0</v>
      </c>
      <c r="K430" s="3">
        <v>13000.0</v>
      </c>
      <c r="L430" s="3" t="s">
        <v>164</v>
      </c>
      <c r="M430" s="3" t="str">
        <f t="shared" si="1"/>
        <v>Target Achieved</v>
      </c>
      <c r="N430" s="10">
        <f t="shared" si="2"/>
        <v>0.5148342059</v>
      </c>
      <c r="O430" s="11">
        <f t="shared" si="3"/>
        <v>0</v>
      </c>
      <c r="P430" s="12">
        <f t="shared" si="4"/>
        <v>14924</v>
      </c>
    </row>
    <row r="431" ht="12.75" customHeight="1">
      <c r="A431" s="3" t="s">
        <v>746</v>
      </c>
      <c r="B431" s="3" t="s">
        <v>195</v>
      </c>
      <c r="C431" s="3" t="s">
        <v>45</v>
      </c>
      <c r="D431" s="3" t="s">
        <v>22</v>
      </c>
      <c r="E431" s="3" t="s">
        <v>46</v>
      </c>
      <c r="F431" s="3" t="s">
        <v>21</v>
      </c>
      <c r="G431" s="3" t="s">
        <v>13</v>
      </c>
      <c r="H431" s="3">
        <v>17681.0</v>
      </c>
      <c r="I431" s="3" t="s">
        <v>47</v>
      </c>
      <c r="J431" s="3">
        <v>0.3</v>
      </c>
      <c r="K431" s="3">
        <v>17000.0</v>
      </c>
      <c r="L431" s="3" t="s">
        <v>320</v>
      </c>
      <c r="M431" s="3" t="str">
        <f t="shared" si="1"/>
        <v>Target Achieved</v>
      </c>
      <c r="N431" s="10">
        <f t="shared" si="2"/>
        <v>0.513986014</v>
      </c>
      <c r="O431" s="11">
        <f t="shared" si="3"/>
        <v>0.3</v>
      </c>
      <c r="P431" s="12">
        <f t="shared" si="4"/>
        <v>12376.7</v>
      </c>
    </row>
    <row r="432" ht="12.75" customHeight="1">
      <c r="A432" s="3" t="s">
        <v>747</v>
      </c>
      <c r="B432" s="3" t="s">
        <v>532</v>
      </c>
      <c r="C432" s="3" t="s">
        <v>57</v>
      </c>
      <c r="D432" s="3" t="s">
        <v>19</v>
      </c>
      <c r="E432" s="3" t="s">
        <v>46</v>
      </c>
      <c r="F432" s="3" t="s">
        <v>21</v>
      </c>
      <c r="G432" s="3" t="s">
        <v>12</v>
      </c>
      <c r="H432" s="3">
        <v>12251.0</v>
      </c>
      <c r="I432" s="3" t="s">
        <v>23</v>
      </c>
      <c r="J432" s="3">
        <v>0.2</v>
      </c>
      <c r="K432" s="3">
        <v>13000.0</v>
      </c>
      <c r="L432" s="3" t="s">
        <v>117</v>
      </c>
      <c r="M432" s="3" t="str">
        <f t="shared" si="1"/>
        <v>Below Target</v>
      </c>
      <c r="N432" s="10">
        <f t="shared" si="2"/>
        <v>0.5131348511</v>
      </c>
      <c r="O432" s="11">
        <f t="shared" si="3"/>
        <v>0.2</v>
      </c>
      <c r="P432" s="12">
        <f t="shared" si="4"/>
        <v>9800.8</v>
      </c>
    </row>
    <row r="433" ht="12.75" customHeight="1">
      <c r="A433" s="3" t="s">
        <v>748</v>
      </c>
      <c r="B433" s="3" t="s">
        <v>17</v>
      </c>
      <c r="C433" s="3" t="s">
        <v>18</v>
      </c>
      <c r="D433" s="3" t="s">
        <v>16</v>
      </c>
      <c r="E433" s="3" t="s">
        <v>46</v>
      </c>
      <c r="F433" s="3" t="s">
        <v>41</v>
      </c>
      <c r="G433" s="3" t="s">
        <v>11</v>
      </c>
      <c r="H433" s="3">
        <v>12319.0</v>
      </c>
      <c r="I433" s="3" t="s">
        <v>23</v>
      </c>
      <c r="J433" s="3">
        <v>0.2</v>
      </c>
      <c r="K433" s="3">
        <v>14000.0</v>
      </c>
      <c r="L433" s="15" t="s">
        <v>275</v>
      </c>
      <c r="M433" s="3" t="str">
        <f t="shared" si="1"/>
        <v>Below Target</v>
      </c>
      <c r="N433" s="10">
        <f t="shared" si="2"/>
        <v>0.5140350877</v>
      </c>
      <c r="O433" s="11">
        <f t="shared" si="3"/>
        <v>0.2</v>
      </c>
      <c r="P433" s="12">
        <f t="shared" si="4"/>
        <v>9855.2</v>
      </c>
    </row>
    <row r="434" ht="12.75" customHeight="1">
      <c r="A434" s="3" t="s">
        <v>749</v>
      </c>
      <c r="B434" s="3" t="s">
        <v>40</v>
      </c>
      <c r="C434" s="3" t="s">
        <v>76</v>
      </c>
      <c r="D434" s="3" t="s">
        <v>24</v>
      </c>
      <c r="E434" s="3" t="s">
        <v>46</v>
      </c>
      <c r="F434" s="3" t="s">
        <v>41</v>
      </c>
      <c r="G434" s="3" t="s">
        <v>12</v>
      </c>
      <c r="H434" s="3">
        <v>8407.0</v>
      </c>
      <c r="I434" s="3" t="s">
        <v>37</v>
      </c>
      <c r="J434" s="3">
        <v>0.1</v>
      </c>
      <c r="K434" s="3">
        <v>9000.0</v>
      </c>
      <c r="L434" s="3" t="s">
        <v>139</v>
      </c>
      <c r="M434" s="3" t="str">
        <f t="shared" si="1"/>
        <v>Below Target</v>
      </c>
      <c r="N434" s="10">
        <f t="shared" si="2"/>
        <v>0.5149384886</v>
      </c>
      <c r="O434" s="11">
        <f t="shared" si="3"/>
        <v>0.1</v>
      </c>
      <c r="P434" s="12">
        <f t="shared" si="4"/>
        <v>7566.3</v>
      </c>
    </row>
    <row r="435" ht="12.75" customHeight="1">
      <c r="A435" s="3" t="s">
        <v>750</v>
      </c>
      <c r="B435" s="3" t="s">
        <v>134</v>
      </c>
      <c r="C435" s="3" t="s">
        <v>57</v>
      </c>
      <c r="D435" s="3" t="s">
        <v>19</v>
      </c>
      <c r="E435" s="3" t="s">
        <v>58</v>
      </c>
      <c r="F435" s="3" t="s">
        <v>41</v>
      </c>
      <c r="G435" s="3" t="s">
        <v>13</v>
      </c>
      <c r="H435" s="3">
        <v>12569.0</v>
      </c>
      <c r="I435" s="3" t="s">
        <v>37</v>
      </c>
      <c r="J435" s="3">
        <v>0.1</v>
      </c>
      <c r="K435" s="3">
        <v>13000.0</v>
      </c>
      <c r="L435" s="3" t="s">
        <v>319</v>
      </c>
      <c r="M435" s="3" t="str">
        <f t="shared" si="1"/>
        <v>Below Target</v>
      </c>
      <c r="N435" s="10">
        <f t="shared" si="2"/>
        <v>0.5158450704</v>
      </c>
      <c r="O435" s="11">
        <f t="shared" si="3"/>
        <v>0.1</v>
      </c>
      <c r="P435" s="12">
        <f t="shared" si="4"/>
        <v>11312.1</v>
      </c>
    </row>
    <row r="436" ht="12.75" customHeight="1">
      <c r="A436" s="3" t="s">
        <v>751</v>
      </c>
      <c r="B436" s="3" t="s">
        <v>752</v>
      </c>
      <c r="C436" s="3" t="s">
        <v>18</v>
      </c>
      <c r="D436" s="3" t="s">
        <v>16</v>
      </c>
      <c r="E436" s="3" t="s">
        <v>58</v>
      </c>
      <c r="F436" s="3" t="s">
        <v>21</v>
      </c>
      <c r="G436" s="3" t="s">
        <v>11</v>
      </c>
      <c r="H436" s="3">
        <v>12561.0</v>
      </c>
      <c r="K436" s="3">
        <v>14000.0</v>
      </c>
      <c r="L436" s="3" t="s">
        <v>324</v>
      </c>
      <c r="M436" s="3" t="str">
        <f t="shared" si="1"/>
        <v>Below Target</v>
      </c>
      <c r="N436" s="10">
        <f t="shared" si="2"/>
        <v>0.5167548501</v>
      </c>
      <c r="O436" s="11">
        <f t="shared" si="3"/>
        <v>0</v>
      </c>
      <c r="P436" s="12">
        <f t="shared" si="4"/>
        <v>12561</v>
      </c>
    </row>
    <row r="437" ht="12.75" customHeight="1">
      <c r="A437" s="3" t="s">
        <v>753</v>
      </c>
      <c r="B437" s="3" t="s">
        <v>493</v>
      </c>
      <c r="C437" s="3" t="s">
        <v>57</v>
      </c>
      <c r="D437" s="3" t="s">
        <v>19</v>
      </c>
      <c r="E437" s="3" t="s">
        <v>20</v>
      </c>
      <c r="F437" s="3" t="s">
        <v>52</v>
      </c>
      <c r="G437" s="3" t="s">
        <v>13</v>
      </c>
      <c r="H437" s="3">
        <v>11280.0</v>
      </c>
      <c r="I437" s="3" t="s">
        <v>42</v>
      </c>
      <c r="K437" s="3">
        <v>13000.0</v>
      </c>
      <c r="L437" s="15" t="s">
        <v>352</v>
      </c>
      <c r="M437" s="3" t="str">
        <f t="shared" si="1"/>
        <v>Below Target</v>
      </c>
      <c r="N437" s="10">
        <f t="shared" si="2"/>
        <v>0.5176678445</v>
      </c>
      <c r="O437" s="11" t="str">
        <f t="shared" si="3"/>
        <v/>
      </c>
      <c r="P437" s="12">
        <f t="shared" si="4"/>
        <v>9588</v>
      </c>
    </row>
    <row r="438" ht="12.75" customHeight="1">
      <c r="A438" s="3" t="s">
        <v>754</v>
      </c>
      <c r="B438" s="3" t="s">
        <v>143</v>
      </c>
      <c r="C438" s="3" t="s">
        <v>57</v>
      </c>
      <c r="D438" s="3" t="s">
        <v>19</v>
      </c>
      <c r="E438" s="3" t="s">
        <v>58</v>
      </c>
      <c r="F438" s="3" t="s">
        <v>21</v>
      </c>
      <c r="G438" s="3" t="s">
        <v>12</v>
      </c>
      <c r="H438" s="3">
        <v>11872.0</v>
      </c>
      <c r="I438" s="3" t="s">
        <v>23</v>
      </c>
      <c r="J438" s="3">
        <v>0.2</v>
      </c>
      <c r="K438" s="3">
        <v>13000.0</v>
      </c>
      <c r="L438" s="3" t="s">
        <v>340</v>
      </c>
      <c r="M438" s="3" t="str">
        <f t="shared" si="1"/>
        <v>Below Target</v>
      </c>
      <c r="N438" s="10">
        <f t="shared" si="2"/>
        <v>0.5185840708</v>
      </c>
      <c r="O438" s="11">
        <f t="shared" si="3"/>
        <v>0.2</v>
      </c>
      <c r="P438" s="12">
        <f t="shared" si="4"/>
        <v>9497.6</v>
      </c>
    </row>
    <row r="439" ht="12.75" customHeight="1">
      <c r="A439" s="3" t="s">
        <v>755</v>
      </c>
      <c r="B439" s="3" t="s">
        <v>717</v>
      </c>
      <c r="C439" s="3" t="s">
        <v>76</v>
      </c>
      <c r="D439" s="3" t="s">
        <v>24</v>
      </c>
      <c r="E439" s="3" t="s">
        <v>46</v>
      </c>
      <c r="F439" s="3" t="s">
        <v>41</v>
      </c>
      <c r="G439" s="3" t="s">
        <v>13</v>
      </c>
      <c r="H439" s="3">
        <v>7573.0</v>
      </c>
      <c r="I439" s="3" t="s">
        <v>37</v>
      </c>
      <c r="J439" s="3">
        <v>0.1</v>
      </c>
      <c r="K439" s="3">
        <v>9000.0</v>
      </c>
      <c r="L439" s="15" t="s">
        <v>275</v>
      </c>
      <c r="M439" s="3" t="str">
        <f t="shared" si="1"/>
        <v>Below Target</v>
      </c>
      <c r="N439" s="10">
        <f t="shared" si="2"/>
        <v>0.5195035461</v>
      </c>
      <c r="O439" s="11">
        <f t="shared" si="3"/>
        <v>0.1</v>
      </c>
      <c r="P439" s="12">
        <f t="shared" si="4"/>
        <v>6815.7</v>
      </c>
    </row>
    <row r="440" ht="12.75" customHeight="1">
      <c r="A440" s="3" t="s">
        <v>756</v>
      </c>
      <c r="B440" s="3" t="s">
        <v>166</v>
      </c>
      <c r="C440" s="3" t="s">
        <v>45</v>
      </c>
      <c r="D440" s="3" t="s">
        <v>22</v>
      </c>
      <c r="E440" s="3" t="s">
        <v>58</v>
      </c>
      <c r="F440" s="3" t="s">
        <v>21</v>
      </c>
      <c r="G440" s="3" t="s">
        <v>13</v>
      </c>
      <c r="H440" s="3">
        <v>16014.0</v>
      </c>
      <c r="I440" s="3" t="s">
        <v>47</v>
      </c>
      <c r="J440" s="3">
        <v>0.3</v>
      </c>
      <c r="K440" s="3">
        <v>17000.0</v>
      </c>
      <c r="L440" s="15" t="s">
        <v>313</v>
      </c>
      <c r="M440" s="3" t="str">
        <f t="shared" si="1"/>
        <v>Below Target</v>
      </c>
      <c r="N440" s="10">
        <f t="shared" si="2"/>
        <v>0.5204262877</v>
      </c>
      <c r="O440" s="11">
        <f t="shared" si="3"/>
        <v>0.3</v>
      </c>
      <c r="P440" s="12">
        <f t="shared" si="4"/>
        <v>11209.8</v>
      </c>
    </row>
    <row r="441" ht="12.75" customHeight="1">
      <c r="A441" s="3" t="s">
        <v>757</v>
      </c>
      <c r="B441" s="3" t="s">
        <v>310</v>
      </c>
      <c r="C441" s="3" t="s">
        <v>45</v>
      </c>
      <c r="D441" s="3" t="s">
        <v>22</v>
      </c>
      <c r="E441" s="3" t="s">
        <v>20</v>
      </c>
      <c r="F441" s="3" t="s">
        <v>41</v>
      </c>
      <c r="G441" s="3" t="s">
        <v>12</v>
      </c>
      <c r="H441" s="3">
        <v>18587.0</v>
      </c>
      <c r="I441" s="3" t="s">
        <v>47</v>
      </c>
      <c r="J441" s="3">
        <v>0.3</v>
      </c>
      <c r="K441" s="3">
        <v>17000.0</v>
      </c>
      <c r="L441" s="3" t="s">
        <v>65</v>
      </c>
      <c r="M441" s="3" t="str">
        <f t="shared" si="1"/>
        <v>Target Achieved</v>
      </c>
      <c r="N441" s="10">
        <f t="shared" si="2"/>
        <v>0.5213523132</v>
      </c>
      <c r="O441" s="11">
        <f t="shared" si="3"/>
        <v>0.3</v>
      </c>
      <c r="P441" s="12">
        <f t="shared" si="4"/>
        <v>13010.9</v>
      </c>
    </row>
    <row r="442" ht="12.75" customHeight="1">
      <c r="A442" s="3" t="s">
        <v>758</v>
      </c>
      <c r="B442" s="3" t="s">
        <v>482</v>
      </c>
      <c r="C442" s="3" t="s">
        <v>57</v>
      </c>
      <c r="D442" s="3" t="s">
        <v>19</v>
      </c>
      <c r="E442" s="3" t="s">
        <v>20</v>
      </c>
      <c r="F442" s="3" t="s">
        <v>21</v>
      </c>
      <c r="G442" s="3" t="s">
        <v>11</v>
      </c>
      <c r="H442" s="3">
        <v>13646.0</v>
      </c>
      <c r="I442" s="3" t="s">
        <v>37</v>
      </c>
      <c r="J442" s="3">
        <v>0.1</v>
      </c>
      <c r="K442" s="3">
        <v>13000.0</v>
      </c>
      <c r="L442" s="3" t="s">
        <v>328</v>
      </c>
      <c r="M442" s="3" t="str">
        <f t="shared" si="1"/>
        <v>Target Achieved</v>
      </c>
      <c r="N442" s="10">
        <f t="shared" si="2"/>
        <v>0.5204991087</v>
      </c>
      <c r="O442" s="11">
        <f t="shared" si="3"/>
        <v>0.1</v>
      </c>
      <c r="P442" s="12">
        <f t="shared" si="4"/>
        <v>12281.4</v>
      </c>
    </row>
    <row r="443" ht="12.75" customHeight="1">
      <c r="A443" s="3" t="s">
        <v>759</v>
      </c>
      <c r="B443" s="3" t="s">
        <v>189</v>
      </c>
      <c r="C443" s="3" t="s">
        <v>57</v>
      </c>
      <c r="D443" s="3" t="s">
        <v>19</v>
      </c>
      <c r="E443" s="3" t="s">
        <v>58</v>
      </c>
      <c r="F443" s="3" t="s">
        <v>21</v>
      </c>
      <c r="G443" s="3" t="s">
        <v>13</v>
      </c>
      <c r="H443" s="3">
        <v>11987.0</v>
      </c>
      <c r="K443" s="3">
        <v>13000.0</v>
      </c>
      <c r="L443" s="15" t="s">
        <v>312</v>
      </c>
      <c r="M443" s="3" t="str">
        <f t="shared" si="1"/>
        <v>Below Target</v>
      </c>
      <c r="N443" s="10">
        <f t="shared" si="2"/>
        <v>0.5196428571</v>
      </c>
      <c r="O443" s="11">
        <f t="shared" si="3"/>
        <v>0</v>
      </c>
      <c r="P443" s="12">
        <f t="shared" si="4"/>
        <v>11987</v>
      </c>
    </row>
    <row r="444" ht="12.75" customHeight="1">
      <c r="A444" s="3" t="s">
        <v>760</v>
      </c>
      <c r="B444" s="3" t="s">
        <v>141</v>
      </c>
      <c r="C444" s="3" t="s">
        <v>18</v>
      </c>
      <c r="D444" s="3" t="s">
        <v>16</v>
      </c>
      <c r="E444" s="3" t="s">
        <v>58</v>
      </c>
      <c r="F444" s="3" t="s">
        <v>21</v>
      </c>
      <c r="G444" s="3" t="s">
        <v>13</v>
      </c>
      <c r="H444" s="3">
        <v>13584.0</v>
      </c>
      <c r="I444" s="3" t="s">
        <v>42</v>
      </c>
      <c r="K444" s="3">
        <v>14000.0</v>
      </c>
      <c r="L444" s="3" t="s">
        <v>68</v>
      </c>
      <c r="M444" s="3" t="str">
        <f t="shared" si="1"/>
        <v>Below Target</v>
      </c>
      <c r="N444" s="10">
        <f t="shared" si="2"/>
        <v>0.5205724508</v>
      </c>
      <c r="O444" s="11" t="str">
        <f t="shared" si="3"/>
        <v/>
      </c>
      <c r="P444" s="12">
        <f t="shared" si="4"/>
        <v>11546.4</v>
      </c>
    </row>
    <row r="445" ht="12.75" customHeight="1">
      <c r="A445" s="3" t="s">
        <v>761</v>
      </c>
      <c r="B445" s="3" t="s">
        <v>396</v>
      </c>
      <c r="C445" s="3" t="s">
        <v>57</v>
      </c>
      <c r="D445" s="3" t="s">
        <v>19</v>
      </c>
      <c r="E445" s="3" t="s">
        <v>58</v>
      </c>
      <c r="F445" s="3" t="s">
        <v>41</v>
      </c>
      <c r="G445" s="3" t="s">
        <v>13</v>
      </c>
      <c r="H445" s="3">
        <v>13405.0</v>
      </c>
      <c r="I445" s="3" t="s">
        <v>37</v>
      </c>
      <c r="J445" s="3">
        <v>0.1</v>
      </c>
      <c r="K445" s="3">
        <v>13000.0</v>
      </c>
      <c r="L445" s="15" t="s">
        <v>308</v>
      </c>
      <c r="M445" s="3" t="str">
        <f t="shared" si="1"/>
        <v>Target Achieved</v>
      </c>
      <c r="N445" s="10">
        <f t="shared" si="2"/>
        <v>0.5215053763</v>
      </c>
      <c r="O445" s="11">
        <f t="shared" si="3"/>
        <v>0.1</v>
      </c>
      <c r="P445" s="12">
        <f t="shared" si="4"/>
        <v>12064.5</v>
      </c>
    </row>
    <row r="446" ht="12.75" customHeight="1">
      <c r="A446" s="3" t="s">
        <v>762</v>
      </c>
      <c r="B446" s="3" t="s">
        <v>382</v>
      </c>
      <c r="C446" s="3" t="s">
        <v>18</v>
      </c>
      <c r="D446" s="3" t="s">
        <v>16</v>
      </c>
      <c r="E446" s="3" t="s">
        <v>46</v>
      </c>
      <c r="F446" s="3" t="s">
        <v>21</v>
      </c>
      <c r="G446" s="3" t="s">
        <v>12</v>
      </c>
      <c r="H446" s="3">
        <v>13173.0</v>
      </c>
      <c r="I446" s="3" t="s">
        <v>42</v>
      </c>
      <c r="K446" s="3">
        <v>14000.0</v>
      </c>
      <c r="L446" s="3" t="s">
        <v>324</v>
      </c>
      <c r="M446" s="3" t="str">
        <f t="shared" si="1"/>
        <v>Below Target</v>
      </c>
      <c r="N446" s="10">
        <f t="shared" si="2"/>
        <v>0.5206463196</v>
      </c>
      <c r="O446" s="11" t="str">
        <f t="shared" si="3"/>
        <v/>
      </c>
      <c r="P446" s="12">
        <f t="shared" si="4"/>
        <v>11197.05</v>
      </c>
    </row>
    <row r="447" ht="12.75" customHeight="1">
      <c r="A447" s="3" t="s">
        <v>763</v>
      </c>
      <c r="B447" s="3" t="s">
        <v>225</v>
      </c>
      <c r="C447" s="3" t="s">
        <v>76</v>
      </c>
      <c r="D447" s="3" t="s">
        <v>24</v>
      </c>
      <c r="E447" s="3" t="s">
        <v>46</v>
      </c>
      <c r="F447" s="3" t="s">
        <v>52</v>
      </c>
      <c r="G447" s="3" t="s">
        <v>12</v>
      </c>
      <c r="H447" s="3">
        <v>9202.0</v>
      </c>
      <c r="I447" s="3" t="s">
        <v>42</v>
      </c>
      <c r="K447" s="3">
        <v>9000.0</v>
      </c>
      <c r="L447" s="15" t="s">
        <v>114</v>
      </c>
      <c r="M447" s="3" t="str">
        <f t="shared" si="1"/>
        <v>Target Achieved</v>
      </c>
      <c r="N447" s="10">
        <f t="shared" si="2"/>
        <v>0.5215827338</v>
      </c>
      <c r="O447" s="11" t="str">
        <f t="shared" si="3"/>
        <v/>
      </c>
      <c r="P447" s="12">
        <f t="shared" si="4"/>
        <v>7821.7</v>
      </c>
    </row>
    <row r="448" ht="12.75" customHeight="1">
      <c r="A448" s="3" t="s">
        <v>764</v>
      </c>
      <c r="B448" s="3" t="s">
        <v>280</v>
      </c>
      <c r="C448" s="3" t="s">
        <v>45</v>
      </c>
      <c r="D448" s="3" t="s">
        <v>22</v>
      </c>
      <c r="E448" s="3" t="s">
        <v>46</v>
      </c>
      <c r="F448" s="3" t="s">
        <v>52</v>
      </c>
      <c r="G448" s="3" t="s">
        <v>13</v>
      </c>
      <c r="H448" s="3">
        <v>18990.0</v>
      </c>
      <c r="I448" s="3" t="s">
        <v>23</v>
      </c>
      <c r="J448" s="3">
        <v>0.2</v>
      </c>
      <c r="K448" s="3">
        <v>17000.0</v>
      </c>
      <c r="L448" s="15" t="s">
        <v>348</v>
      </c>
      <c r="M448" s="3" t="str">
        <f t="shared" si="1"/>
        <v>Target Achieved</v>
      </c>
      <c r="N448" s="10">
        <f t="shared" si="2"/>
        <v>0.5207207207</v>
      </c>
      <c r="O448" s="11">
        <f t="shared" si="3"/>
        <v>0.2</v>
      </c>
      <c r="P448" s="12">
        <f t="shared" si="4"/>
        <v>15192</v>
      </c>
    </row>
    <row r="449" ht="12.75" customHeight="1">
      <c r="A449" s="3" t="s">
        <v>765</v>
      </c>
      <c r="B449" s="3" t="s">
        <v>766</v>
      </c>
      <c r="C449" s="3" t="s">
        <v>18</v>
      </c>
      <c r="D449" s="3" t="s">
        <v>16</v>
      </c>
      <c r="E449" s="3" t="s">
        <v>58</v>
      </c>
      <c r="F449" s="3" t="s">
        <v>52</v>
      </c>
      <c r="G449" s="3" t="s">
        <v>11</v>
      </c>
      <c r="H449" s="3">
        <v>14989.0</v>
      </c>
      <c r="I449" s="3" t="s">
        <v>23</v>
      </c>
      <c r="J449" s="3">
        <v>0.2</v>
      </c>
      <c r="K449" s="3">
        <v>14000.0</v>
      </c>
      <c r="L449" s="15" t="s">
        <v>347</v>
      </c>
      <c r="M449" s="3" t="str">
        <f t="shared" si="1"/>
        <v>Target Achieved</v>
      </c>
      <c r="N449" s="10">
        <f t="shared" si="2"/>
        <v>0.5198555957</v>
      </c>
      <c r="O449" s="11">
        <f t="shared" si="3"/>
        <v>0.2</v>
      </c>
      <c r="P449" s="12">
        <f t="shared" si="4"/>
        <v>11991.2</v>
      </c>
    </row>
    <row r="450" ht="12.75" customHeight="1">
      <c r="A450" s="3" t="s">
        <v>767</v>
      </c>
      <c r="B450" s="3" t="s">
        <v>288</v>
      </c>
      <c r="C450" s="3" t="s">
        <v>76</v>
      </c>
      <c r="D450" s="3" t="s">
        <v>24</v>
      </c>
      <c r="E450" s="3" t="s">
        <v>46</v>
      </c>
      <c r="F450" s="3" t="s">
        <v>21</v>
      </c>
      <c r="G450" s="3" t="s">
        <v>12</v>
      </c>
      <c r="H450" s="3">
        <v>9493.0</v>
      </c>
      <c r="I450" s="3" t="s">
        <v>37</v>
      </c>
      <c r="J450" s="3">
        <v>0.1</v>
      </c>
      <c r="K450" s="3">
        <v>9000.0</v>
      </c>
      <c r="L450" s="3" t="s">
        <v>327</v>
      </c>
      <c r="M450" s="3" t="str">
        <f t="shared" si="1"/>
        <v>Target Achieved</v>
      </c>
      <c r="N450" s="10">
        <f t="shared" si="2"/>
        <v>0.5189873418</v>
      </c>
      <c r="O450" s="11">
        <f t="shared" si="3"/>
        <v>0.1</v>
      </c>
      <c r="P450" s="12">
        <f t="shared" si="4"/>
        <v>8543.7</v>
      </c>
    </row>
    <row r="451" ht="12.75" customHeight="1">
      <c r="A451" s="3" t="s">
        <v>768</v>
      </c>
      <c r="B451" s="3" t="s">
        <v>400</v>
      </c>
      <c r="C451" s="3" t="s">
        <v>57</v>
      </c>
      <c r="D451" s="3" t="s">
        <v>19</v>
      </c>
      <c r="E451" s="3" t="s">
        <v>46</v>
      </c>
      <c r="F451" s="3" t="s">
        <v>41</v>
      </c>
      <c r="G451" s="3" t="s">
        <v>12</v>
      </c>
      <c r="H451" s="3">
        <v>11562.0</v>
      </c>
      <c r="I451" s="3" t="s">
        <v>37</v>
      </c>
      <c r="J451" s="3">
        <v>0.1</v>
      </c>
      <c r="K451" s="3">
        <v>13000.0</v>
      </c>
      <c r="L451" s="15" t="s">
        <v>103</v>
      </c>
      <c r="M451" s="3" t="str">
        <f t="shared" si="1"/>
        <v>Below Target</v>
      </c>
      <c r="N451" s="10">
        <f t="shared" si="2"/>
        <v>0.518115942</v>
      </c>
      <c r="O451" s="11">
        <f t="shared" si="3"/>
        <v>0.1</v>
      </c>
      <c r="P451" s="12">
        <f t="shared" si="4"/>
        <v>10405.8</v>
      </c>
    </row>
    <row r="452" ht="12.75" customHeight="1">
      <c r="A452" s="3" t="s">
        <v>769</v>
      </c>
      <c r="B452" s="3" t="s">
        <v>240</v>
      </c>
      <c r="C452" s="3" t="s">
        <v>45</v>
      </c>
      <c r="D452" s="3" t="s">
        <v>22</v>
      </c>
      <c r="E452" s="3" t="s">
        <v>46</v>
      </c>
      <c r="F452" s="3" t="s">
        <v>21</v>
      </c>
      <c r="G452" s="3" t="s">
        <v>13</v>
      </c>
      <c r="H452" s="3">
        <v>18071.0</v>
      </c>
      <c r="I452" s="3" t="s">
        <v>47</v>
      </c>
      <c r="J452" s="3">
        <v>0.3</v>
      </c>
      <c r="K452" s="3">
        <v>17000.0</v>
      </c>
      <c r="L452" s="3" t="s">
        <v>319</v>
      </c>
      <c r="M452" s="3" t="str">
        <f t="shared" si="1"/>
        <v>Target Achieved</v>
      </c>
      <c r="N452" s="10">
        <f t="shared" si="2"/>
        <v>0.5190562613</v>
      </c>
      <c r="O452" s="11">
        <f t="shared" si="3"/>
        <v>0.3</v>
      </c>
      <c r="P452" s="12">
        <f t="shared" si="4"/>
        <v>12649.7</v>
      </c>
    </row>
    <row r="453" ht="12.75" customHeight="1">
      <c r="A453" s="3" t="s">
        <v>770</v>
      </c>
      <c r="B453" s="3" t="s">
        <v>503</v>
      </c>
      <c r="C453" s="3" t="s">
        <v>18</v>
      </c>
      <c r="D453" s="3" t="s">
        <v>16</v>
      </c>
      <c r="E453" s="3" t="s">
        <v>58</v>
      </c>
      <c r="F453" s="3" t="s">
        <v>21</v>
      </c>
      <c r="G453" s="3" t="s">
        <v>11</v>
      </c>
      <c r="H453" s="3">
        <v>14145.0</v>
      </c>
      <c r="I453" s="3" t="s">
        <v>37</v>
      </c>
      <c r="J453" s="3">
        <v>0.1</v>
      </c>
      <c r="K453" s="3">
        <v>14000.0</v>
      </c>
      <c r="L453" s="3" t="s">
        <v>320</v>
      </c>
      <c r="M453" s="3" t="str">
        <f t="shared" si="1"/>
        <v>Target Achieved</v>
      </c>
      <c r="N453" s="10">
        <f t="shared" si="2"/>
        <v>0.5181818182</v>
      </c>
      <c r="O453" s="11">
        <f t="shared" si="3"/>
        <v>0.1</v>
      </c>
      <c r="P453" s="12">
        <f t="shared" si="4"/>
        <v>12730.5</v>
      </c>
    </row>
    <row r="454" ht="12.75" customHeight="1">
      <c r="A454" s="3" t="s">
        <v>771</v>
      </c>
      <c r="B454" s="3" t="s">
        <v>772</v>
      </c>
      <c r="C454" s="3" t="s">
        <v>18</v>
      </c>
      <c r="D454" s="3" t="s">
        <v>16</v>
      </c>
      <c r="E454" s="3" t="s">
        <v>58</v>
      </c>
      <c r="F454" s="3" t="s">
        <v>21</v>
      </c>
      <c r="G454" s="3" t="s">
        <v>12</v>
      </c>
      <c r="H454" s="3">
        <v>13475.0</v>
      </c>
      <c r="I454" s="3" t="s">
        <v>37</v>
      </c>
      <c r="J454" s="3">
        <v>0.1</v>
      </c>
      <c r="K454" s="3">
        <v>14000.0</v>
      </c>
      <c r="L454" s="15" t="s">
        <v>177</v>
      </c>
      <c r="M454" s="3" t="str">
        <f t="shared" si="1"/>
        <v>Below Target</v>
      </c>
      <c r="N454" s="10">
        <f t="shared" si="2"/>
        <v>0.5173041894</v>
      </c>
      <c r="O454" s="11">
        <f t="shared" si="3"/>
        <v>0.1</v>
      </c>
      <c r="P454" s="12">
        <f t="shared" si="4"/>
        <v>12127.5</v>
      </c>
    </row>
    <row r="455" ht="12.75" customHeight="1">
      <c r="A455" s="3" t="s">
        <v>773</v>
      </c>
      <c r="B455" s="3" t="s">
        <v>560</v>
      </c>
      <c r="C455" s="3" t="s">
        <v>57</v>
      </c>
      <c r="D455" s="3" t="s">
        <v>19</v>
      </c>
      <c r="E455" s="3" t="s">
        <v>58</v>
      </c>
      <c r="F455" s="3" t="s">
        <v>41</v>
      </c>
      <c r="G455" s="3" t="s">
        <v>11</v>
      </c>
      <c r="H455" s="3">
        <v>14167.0</v>
      </c>
      <c r="I455" s="3" t="s">
        <v>37</v>
      </c>
      <c r="J455" s="3">
        <v>0.1</v>
      </c>
      <c r="K455" s="3">
        <v>13000.0</v>
      </c>
      <c r="L455" s="3" t="s">
        <v>338</v>
      </c>
      <c r="M455" s="3" t="str">
        <f t="shared" si="1"/>
        <v>Target Achieved</v>
      </c>
      <c r="N455" s="10">
        <f t="shared" si="2"/>
        <v>0.5182481752</v>
      </c>
      <c r="O455" s="11">
        <f t="shared" si="3"/>
        <v>0.1</v>
      </c>
      <c r="P455" s="12">
        <f t="shared" si="4"/>
        <v>12750.3</v>
      </c>
    </row>
    <row r="456" ht="12.75" customHeight="1">
      <c r="A456" s="3" t="s">
        <v>774</v>
      </c>
      <c r="B456" s="3" t="s">
        <v>263</v>
      </c>
      <c r="C456" s="3" t="s">
        <v>18</v>
      </c>
      <c r="D456" s="3" t="s">
        <v>16</v>
      </c>
      <c r="E456" s="3" t="s">
        <v>46</v>
      </c>
      <c r="F456" s="3" t="s">
        <v>52</v>
      </c>
      <c r="G456" s="3" t="s">
        <v>12</v>
      </c>
      <c r="H456" s="3">
        <v>12010.0</v>
      </c>
      <c r="I456" s="3" t="s">
        <v>37</v>
      </c>
      <c r="J456" s="3">
        <v>0.1</v>
      </c>
      <c r="K456" s="3">
        <v>14000.0</v>
      </c>
      <c r="L456" s="3" t="s">
        <v>77</v>
      </c>
      <c r="M456" s="3" t="str">
        <f t="shared" si="1"/>
        <v>Below Target</v>
      </c>
      <c r="N456" s="10">
        <f t="shared" si="2"/>
        <v>0.5173674589</v>
      </c>
      <c r="O456" s="11">
        <f t="shared" si="3"/>
        <v>0.1</v>
      </c>
      <c r="P456" s="12">
        <f t="shared" si="4"/>
        <v>10809</v>
      </c>
    </row>
    <row r="457" ht="12.75" customHeight="1">
      <c r="A457" s="3" t="s">
        <v>775</v>
      </c>
      <c r="B457" s="3" t="s">
        <v>776</v>
      </c>
      <c r="C457" s="3" t="s">
        <v>57</v>
      </c>
      <c r="D457" s="3" t="s">
        <v>19</v>
      </c>
      <c r="E457" s="3" t="s">
        <v>46</v>
      </c>
      <c r="F457" s="3" t="s">
        <v>21</v>
      </c>
      <c r="G457" s="3" t="s">
        <v>11</v>
      </c>
      <c r="H457" s="3">
        <v>12568.0</v>
      </c>
      <c r="I457" s="3" t="s">
        <v>23</v>
      </c>
      <c r="J457" s="3">
        <v>0.2</v>
      </c>
      <c r="K457" s="3">
        <v>13000.0</v>
      </c>
      <c r="L457" s="15" t="s">
        <v>316</v>
      </c>
      <c r="M457" s="3" t="str">
        <f t="shared" si="1"/>
        <v>Below Target</v>
      </c>
      <c r="N457" s="10">
        <f t="shared" si="2"/>
        <v>0.5183150183</v>
      </c>
      <c r="O457" s="11">
        <f t="shared" si="3"/>
        <v>0.2</v>
      </c>
      <c r="P457" s="12">
        <f t="shared" si="4"/>
        <v>10054.4</v>
      </c>
    </row>
    <row r="458" ht="12.75" customHeight="1">
      <c r="A458" s="3" t="s">
        <v>777</v>
      </c>
      <c r="B458" s="3" t="s">
        <v>554</v>
      </c>
      <c r="C458" s="3" t="s">
        <v>18</v>
      </c>
      <c r="D458" s="3" t="s">
        <v>16</v>
      </c>
      <c r="E458" s="3" t="s">
        <v>20</v>
      </c>
      <c r="F458" s="3" t="s">
        <v>52</v>
      </c>
      <c r="G458" s="3" t="s">
        <v>12</v>
      </c>
      <c r="H458" s="3">
        <v>14685.0</v>
      </c>
      <c r="K458" s="3">
        <v>14000.0</v>
      </c>
      <c r="L458" s="3" t="s">
        <v>221</v>
      </c>
      <c r="M458" s="3" t="str">
        <f t="shared" si="1"/>
        <v>Target Achieved</v>
      </c>
      <c r="N458" s="10">
        <f t="shared" si="2"/>
        <v>0.519266055</v>
      </c>
      <c r="O458" s="11">
        <f t="shared" si="3"/>
        <v>0</v>
      </c>
      <c r="P458" s="12">
        <f t="shared" si="4"/>
        <v>14685</v>
      </c>
    </row>
    <row r="459" ht="12.75" customHeight="1">
      <c r="A459" s="3" t="s">
        <v>778</v>
      </c>
      <c r="B459" s="3" t="s">
        <v>508</v>
      </c>
      <c r="C459" s="3" t="s">
        <v>76</v>
      </c>
      <c r="D459" s="3" t="s">
        <v>24</v>
      </c>
      <c r="E459" s="3" t="s">
        <v>20</v>
      </c>
      <c r="F459" s="3" t="s">
        <v>21</v>
      </c>
      <c r="G459" s="3" t="s">
        <v>11</v>
      </c>
      <c r="H459" s="3">
        <v>10383.0</v>
      </c>
      <c r="I459" s="3" t="s">
        <v>37</v>
      </c>
      <c r="J459" s="3">
        <v>0.1</v>
      </c>
      <c r="K459" s="3">
        <v>9000.0</v>
      </c>
      <c r="L459" s="15" t="s">
        <v>352</v>
      </c>
      <c r="M459" s="3" t="str">
        <f t="shared" si="1"/>
        <v>Target Achieved</v>
      </c>
      <c r="N459" s="10">
        <f t="shared" si="2"/>
        <v>0.5183823529</v>
      </c>
      <c r="O459" s="11">
        <f t="shared" si="3"/>
        <v>0.1</v>
      </c>
      <c r="P459" s="12">
        <f t="shared" si="4"/>
        <v>9344.7</v>
      </c>
    </row>
    <row r="460" ht="12.75" customHeight="1">
      <c r="A460" s="3" t="s">
        <v>779</v>
      </c>
      <c r="B460" s="3" t="s">
        <v>152</v>
      </c>
      <c r="C460" s="3" t="s">
        <v>18</v>
      </c>
      <c r="D460" s="3" t="s">
        <v>16</v>
      </c>
      <c r="E460" s="3" t="s">
        <v>46</v>
      </c>
      <c r="F460" s="3" t="s">
        <v>41</v>
      </c>
      <c r="G460" s="3" t="s">
        <v>12</v>
      </c>
      <c r="H460" s="3">
        <v>12188.0</v>
      </c>
      <c r="K460" s="3">
        <v>14000.0</v>
      </c>
      <c r="L460" s="15" t="s">
        <v>109</v>
      </c>
      <c r="M460" s="3" t="str">
        <f t="shared" si="1"/>
        <v>Below Target</v>
      </c>
      <c r="N460" s="10">
        <f t="shared" si="2"/>
        <v>0.5174953959</v>
      </c>
      <c r="O460" s="11">
        <f t="shared" si="3"/>
        <v>0</v>
      </c>
      <c r="P460" s="12">
        <f t="shared" si="4"/>
        <v>12188</v>
      </c>
    </row>
    <row r="461" ht="12.75" customHeight="1">
      <c r="A461" s="3" t="s">
        <v>780</v>
      </c>
      <c r="B461" s="3" t="s">
        <v>545</v>
      </c>
      <c r="C461" s="3" t="s">
        <v>45</v>
      </c>
      <c r="D461" s="3" t="s">
        <v>22</v>
      </c>
      <c r="E461" s="3" t="s">
        <v>58</v>
      </c>
      <c r="F461" s="3" t="s">
        <v>21</v>
      </c>
      <c r="G461" s="3" t="s">
        <v>13</v>
      </c>
      <c r="H461" s="3">
        <v>17265.0</v>
      </c>
      <c r="K461" s="3">
        <v>17000.0</v>
      </c>
      <c r="L461" s="15" t="s">
        <v>308</v>
      </c>
      <c r="M461" s="3" t="str">
        <f t="shared" si="1"/>
        <v>Target Achieved</v>
      </c>
      <c r="N461" s="10">
        <f t="shared" si="2"/>
        <v>0.5184501845</v>
      </c>
      <c r="O461" s="11">
        <f t="shared" si="3"/>
        <v>0</v>
      </c>
      <c r="P461" s="12">
        <f t="shared" si="4"/>
        <v>17265</v>
      </c>
    </row>
    <row r="462" ht="12.75" customHeight="1">
      <c r="A462" s="3" t="s">
        <v>781</v>
      </c>
      <c r="B462" s="3" t="s">
        <v>508</v>
      </c>
      <c r="C462" s="3" t="s">
        <v>45</v>
      </c>
      <c r="D462" s="3" t="s">
        <v>22</v>
      </c>
      <c r="E462" s="3" t="s">
        <v>20</v>
      </c>
      <c r="F462" s="3" t="s">
        <v>21</v>
      </c>
      <c r="G462" s="3" t="s">
        <v>12</v>
      </c>
      <c r="H462" s="3">
        <v>17550.0</v>
      </c>
      <c r="I462" s="3" t="s">
        <v>23</v>
      </c>
      <c r="J462" s="3">
        <v>0.2</v>
      </c>
      <c r="K462" s="3">
        <v>17000.0</v>
      </c>
      <c r="L462" s="3" t="s">
        <v>345</v>
      </c>
      <c r="M462" s="3" t="str">
        <f t="shared" si="1"/>
        <v>Target Achieved</v>
      </c>
      <c r="N462" s="10">
        <f t="shared" si="2"/>
        <v>0.5175600739</v>
      </c>
      <c r="O462" s="11">
        <f t="shared" si="3"/>
        <v>0.2</v>
      </c>
      <c r="P462" s="12">
        <f t="shared" si="4"/>
        <v>14040</v>
      </c>
    </row>
    <row r="463" ht="12.75" customHeight="1">
      <c r="A463" s="3" t="s">
        <v>782</v>
      </c>
      <c r="B463" s="3" t="s">
        <v>51</v>
      </c>
      <c r="C463" s="3" t="s">
        <v>76</v>
      </c>
      <c r="D463" s="3" t="s">
        <v>24</v>
      </c>
      <c r="E463" s="3" t="s">
        <v>46</v>
      </c>
      <c r="F463" s="3" t="s">
        <v>52</v>
      </c>
      <c r="G463" s="3" t="s">
        <v>12</v>
      </c>
      <c r="H463" s="3">
        <v>10114.0</v>
      </c>
      <c r="I463" s="3" t="s">
        <v>23</v>
      </c>
      <c r="J463" s="3">
        <v>0.2</v>
      </c>
      <c r="K463" s="3">
        <v>9000.0</v>
      </c>
      <c r="L463" s="15" t="s">
        <v>114</v>
      </c>
      <c r="M463" s="3" t="str">
        <f t="shared" si="1"/>
        <v>Target Achieved</v>
      </c>
      <c r="N463" s="10">
        <f t="shared" si="2"/>
        <v>0.5166666667</v>
      </c>
      <c r="O463" s="11">
        <f t="shared" si="3"/>
        <v>0.2</v>
      </c>
      <c r="P463" s="12">
        <f t="shared" si="4"/>
        <v>8091.2</v>
      </c>
    </row>
    <row r="464" ht="12.75" customHeight="1">
      <c r="A464" s="3" t="s">
        <v>783</v>
      </c>
      <c r="B464" s="3" t="s">
        <v>506</v>
      </c>
      <c r="C464" s="3" t="s">
        <v>18</v>
      </c>
      <c r="D464" s="3" t="s">
        <v>16</v>
      </c>
      <c r="E464" s="3" t="s">
        <v>46</v>
      </c>
      <c r="F464" s="3" t="s">
        <v>52</v>
      </c>
      <c r="G464" s="3" t="s">
        <v>11</v>
      </c>
      <c r="H464" s="3">
        <v>14604.0</v>
      </c>
      <c r="I464" s="3" t="s">
        <v>37</v>
      </c>
      <c r="J464" s="3">
        <v>0.1</v>
      </c>
      <c r="K464" s="3">
        <v>14000.0</v>
      </c>
      <c r="L464" s="15" t="s">
        <v>183</v>
      </c>
      <c r="M464" s="3" t="str">
        <f t="shared" si="1"/>
        <v>Target Achieved</v>
      </c>
      <c r="N464" s="10">
        <f t="shared" si="2"/>
        <v>0.5157699443</v>
      </c>
      <c r="O464" s="11">
        <f t="shared" si="3"/>
        <v>0.1</v>
      </c>
      <c r="P464" s="12">
        <f t="shared" si="4"/>
        <v>13143.6</v>
      </c>
    </row>
    <row r="465" ht="12.75" customHeight="1">
      <c r="A465" s="3" t="s">
        <v>784</v>
      </c>
      <c r="B465" s="3" t="s">
        <v>424</v>
      </c>
      <c r="C465" s="3" t="s">
        <v>76</v>
      </c>
      <c r="D465" s="3" t="s">
        <v>24</v>
      </c>
      <c r="E465" s="3" t="s">
        <v>20</v>
      </c>
      <c r="F465" s="3" t="s">
        <v>52</v>
      </c>
      <c r="G465" s="3" t="s">
        <v>11</v>
      </c>
      <c r="H465" s="3">
        <v>7425.0</v>
      </c>
      <c r="I465" s="3" t="s">
        <v>23</v>
      </c>
      <c r="J465" s="3">
        <v>0.2</v>
      </c>
      <c r="K465" s="3">
        <v>9000.0</v>
      </c>
      <c r="L465" s="15" t="s">
        <v>344</v>
      </c>
      <c r="M465" s="3" t="str">
        <f t="shared" si="1"/>
        <v>Below Target</v>
      </c>
      <c r="N465" s="10">
        <f t="shared" si="2"/>
        <v>0.5148698885</v>
      </c>
      <c r="O465" s="11">
        <f t="shared" si="3"/>
        <v>0.2</v>
      </c>
      <c r="P465" s="12">
        <f t="shared" si="4"/>
        <v>5940</v>
      </c>
    </row>
    <row r="466" ht="12.75" customHeight="1">
      <c r="A466" s="3" t="s">
        <v>785</v>
      </c>
      <c r="B466" s="3" t="s">
        <v>514</v>
      </c>
      <c r="C466" s="3" t="s">
        <v>76</v>
      </c>
      <c r="D466" s="3" t="s">
        <v>24</v>
      </c>
      <c r="E466" s="3" t="s">
        <v>46</v>
      </c>
      <c r="F466" s="3" t="s">
        <v>41</v>
      </c>
      <c r="G466" s="3" t="s">
        <v>12</v>
      </c>
      <c r="H466" s="3">
        <v>8146.0</v>
      </c>
      <c r="I466" s="3" t="s">
        <v>37</v>
      </c>
      <c r="J466" s="3">
        <v>0.1</v>
      </c>
      <c r="K466" s="3">
        <v>9000.0</v>
      </c>
      <c r="L466" s="15" t="s">
        <v>341</v>
      </c>
      <c r="M466" s="3" t="str">
        <f t="shared" si="1"/>
        <v>Below Target</v>
      </c>
      <c r="N466" s="10">
        <f t="shared" si="2"/>
        <v>0.5158286778</v>
      </c>
      <c r="O466" s="11">
        <f t="shared" si="3"/>
        <v>0.1</v>
      </c>
      <c r="P466" s="12">
        <f t="shared" si="4"/>
        <v>7331.4</v>
      </c>
    </row>
    <row r="467" ht="12.75" customHeight="1">
      <c r="A467" s="3" t="s">
        <v>786</v>
      </c>
      <c r="B467" s="3" t="s">
        <v>653</v>
      </c>
      <c r="C467" s="3" t="s">
        <v>76</v>
      </c>
      <c r="D467" s="3" t="s">
        <v>24</v>
      </c>
      <c r="E467" s="3" t="s">
        <v>20</v>
      </c>
      <c r="F467" s="3" t="s">
        <v>21</v>
      </c>
      <c r="G467" s="3" t="s">
        <v>11</v>
      </c>
      <c r="H467" s="3">
        <v>10991.0</v>
      </c>
      <c r="I467" s="3" t="s">
        <v>37</v>
      </c>
      <c r="J467" s="3">
        <v>0.1</v>
      </c>
      <c r="K467" s="3">
        <v>9000.0</v>
      </c>
      <c r="L467" s="15" t="s">
        <v>275</v>
      </c>
      <c r="M467" s="3" t="str">
        <f t="shared" si="1"/>
        <v>Target Achieved</v>
      </c>
      <c r="N467" s="10">
        <f t="shared" si="2"/>
        <v>0.5167910448</v>
      </c>
      <c r="O467" s="11">
        <f t="shared" si="3"/>
        <v>0.1</v>
      </c>
      <c r="P467" s="12">
        <f t="shared" si="4"/>
        <v>9891.9</v>
      </c>
    </row>
    <row r="468" ht="12.75" customHeight="1">
      <c r="A468" s="3" t="s">
        <v>787</v>
      </c>
      <c r="B468" s="3" t="s">
        <v>300</v>
      </c>
      <c r="C468" s="3" t="s">
        <v>57</v>
      </c>
      <c r="D468" s="3" t="s">
        <v>19</v>
      </c>
      <c r="E468" s="3" t="s">
        <v>20</v>
      </c>
      <c r="F468" s="3" t="s">
        <v>21</v>
      </c>
      <c r="G468" s="3" t="s">
        <v>13</v>
      </c>
      <c r="H468" s="3">
        <v>13424.0</v>
      </c>
      <c r="I468" s="3" t="s">
        <v>42</v>
      </c>
      <c r="K468" s="3">
        <v>13000.0</v>
      </c>
      <c r="L468" s="15" t="s">
        <v>347</v>
      </c>
      <c r="M468" s="3" t="str">
        <f t="shared" si="1"/>
        <v>Target Achieved</v>
      </c>
      <c r="N468" s="10">
        <f t="shared" si="2"/>
        <v>0.5158878505</v>
      </c>
      <c r="O468" s="11" t="str">
        <f t="shared" si="3"/>
        <v/>
      </c>
      <c r="P468" s="12">
        <f t="shared" si="4"/>
        <v>11410.4</v>
      </c>
    </row>
    <row r="469" ht="12.75" customHeight="1">
      <c r="A469" s="3" t="s">
        <v>788</v>
      </c>
      <c r="B469" s="3" t="s">
        <v>366</v>
      </c>
      <c r="C469" s="3" t="s">
        <v>57</v>
      </c>
      <c r="D469" s="3" t="s">
        <v>19</v>
      </c>
      <c r="E469" s="3" t="s">
        <v>46</v>
      </c>
      <c r="F469" s="3" t="s">
        <v>21</v>
      </c>
      <c r="G469" s="3" t="s">
        <v>11</v>
      </c>
      <c r="H469" s="3">
        <v>14485.0</v>
      </c>
      <c r="I469" s="3" t="s">
        <v>47</v>
      </c>
      <c r="J469" s="3">
        <v>0.3</v>
      </c>
      <c r="K469" s="3">
        <v>13000.0</v>
      </c>
      <c r="L469" s="3" t="s">
        <v>80</v>
      </c>
      <c r="M469" s="3" t="str">
        <f t="shared" si="1"/>
        <v>Target Achieved</v>
      </c>
      <c r="N469" s="10">
        <f t="shared" si="2"/>
        <v>0.5149812734</v>
      </c>
      <c r="O469" s="11">
        <f t="shared" si="3"/>
        <v>0.3</v>
      </c>
      <c r="P469" s="12">
        <f t="shared" si="4"/>
        <v>10139.5</v>
      </c>
    </row>
    <row r="470" ht="12.75" customHeight="1">
      <c r="A470" s="3" t="s">
        <v>789</v>
      </c>
      <c r="B470" s="3" t="s">
        <v>229</v>
      </c>
      <c r="C470" s="3" t="s">
        <v>45</v>
      </c>
      <c r="D470" s="3" t="s">
        <v>22</v>
      </c>
      <c r="E470" s="3" t="s">
        <v>58</v>
      </c>
      <c r="F470" s="3" t="s">
        <v>21</v>
      </c>
      <c r="G470" s="3" t="s">
        <v>11</v>
      </c>
      <c r="H470" s="3">
        <v>15956.0</v>
      </c>
      <c r="I470" s="3" t="s">
        <v>37</v>
      </c>
      <c r="J470" s="3">
        <v>0.1</v>
      </c>
      <c r="K470" s="3">
        <v>17000.0</v>
      </c>
      <c r="L470" s="15" t="s">
        <v>183</v>
      </c>
      <c r="M470" s="3" t="str">
        <f t="shared" si="1"/>
        <v>Below Target</v>
      </c>
      <c r="N470" s="10">
        <f t="shared" si="2"/>
        <v>0.5140712946</v>
      </c>
      <c r="O470" s="11">
        <f t="shared" si="3"/>
        <v>0.1</v>
      </c>
      <c r="P470" s="12">
        <f t="shared" si="4"/>
        <v>14360.4</v>
      </c>
    </row>
    <row r="471" ht="12.75" customHeight="1">
      <c r="A471" s="3" t="s">
        <v>790</v>
      </c>
      <c r="B471" s="3" t="s">
        <v>294</v>
      </c>
      <c r="C471" s="3" t="s">
        <v>18</v>
      </c>
      <c r="D471" s="3" t="s">
        <v>16</v>
      </c>
      <c r="E471" s="3" t="s">
        <v>46</v>
      </c>
      <c r="F471" s="3" t="s">
        <v>41</v>
      </c>
      <c r="G471" s="3" t="s">
        <v>13</v>
      </c>
      <c r="H471" s="3">
        <v>13841.0</v>
      </c>
      <c r="K471" s="3">
        <v>14000.0</v>
      </c>
      <c r="L471" s="3" t="s">
        <v>303</v>
      </c>
      <c r="M471" s="3" t="str">
        <f t="shared" si="1"/>
        <v>Below Target</v>
      </c>
      <c r="N471" s="10">
        <f t="shared" si="2"/>
        <v>0.515037594</v>
      </c>
      <c r="O471" s="11">
        <f t="shared" si="3"/>
        <v>0</v>
      </c>
      <c r="P471" s="12">
        <f t="shared" si="4"/>
        <v>13841</v>
      </c>
    </row>
    <row r="472" ht="12.75" customHeight="1">
      <c r="A472" s="3" t="s">
        <v>791</v>
      </c>
      <c r="B472" s="3" t="s">
        <v>54</v>
      </c>
      <c r="C472" s="3" t="s">
        <v>45</v>
      </c>
      <c r="D472" s="3" t="s">
        <v>22</v>
      </c>
      <c r="E472" s="3" t="s">
        <v>46</v>
      </c>
      <c r="F472" s="3" t="s">
        <v>21</v>
      </c>
      <c r="G472" s="3" t="s">
        <v>11</v>
      </c>
      <c r="H472" s="3">
        <v>16897.0</v>
      </c>
      <c r="I472" s="3" t="s">
        <v>47</v>
      </c>
      <c r="J472" s="3">
        <v>0.3</v>
      </c>
      <c r="K472" s="3">
        <v>17000.0</v>
      </c>
      <c r="L472" s="3" t="s">
        <v>77</v>
      </c>
      <c r="M472" s="3" t="str">
        <f t="shared" si="1"/>
        <v>Below Target</v>
      </c>
      <c r="N472" s="10">
        <f t="shared" si="2"/>
        <v>0.516007533</v>
      </c>
      <c r="O472" s="11">
        <f t="shared" si="3"/>
        <v>0.3</v>
      </c>
      <c r="P472" s="12">
        <f t="shared" si="4"/>
        <v>11827.9</v>
      </c>
    </row>
    <row r="473" ht="12.75" customHeight="1">
      <c r="A473" s="3" t="s">
        <v>792</v>
      </c>
      <c r="B473" s="3" t="s">
        <v>102</v>
      </c>
      <c r="C473" s="3" t="s">
        <v>57</v>
      </c>
      <c r="D473" s="3" t="s">
        <v>19</v>
      </c>
      <c r="E473" s="3" t="s">
        <v>20</v>
      </c>
      <c r="F473" s="3" t="s">
        <v>21</v>
      </c>
      <c r="G473" s="3" t="s">
        <v>12</v>
      </c>
      <c r="H473" s="3">
        <v>13854.0</v>
      </c>
      <c r="I473" s="3" t="s">
        <v>42</v>
      </c>
      <c r="K473" s="3">
        <v>13000.0</v>
      </c>
      <c r="L473" s="15" t="s">
        <v>341</v>
      </c>
      <c r="M473" s="3" t="str">
        <f t="shared" si="1"/>
        <v>Target Achieved</v>
      </c>
      <c r="N473" s="10">
        <f t="shared" si="2"/>
        <v>0.5169811321</v>
      </c>
      <c r="O473" s="11" t="str">
        <f t="shared" si="3"/>
        <v/>
      </c>
      <c r="P473" s="12">
        <f t="shared" si="4"/>
        <v>11775.9</v>
      </c>
    </row>
    <row r="474" ht="12.75" customHeight="1">
      <c r="A474" s="3" t="s">
        <v>793</v>
      </c>
      <c r="B474" s="3" t="s">
        <v>218</v>
      </c>
      <c r="C474" s="3" t="s">
        <v>45</v>
      </c>
      <c r="D474" s="3" t="s">
        <v>22</v>
      </c>
      <c r="E474" s="3" t="s">
        <v>46</v>
      </c>
      <c r="F474" s="3" t="s">
        <v>41</v>
      </c>
      <c r="G474" s="3" t="s">
        <v>12</v>
      </c>
      <c r="H474" s="3">
        <v>16016.0</v>
      </c>
      <c r="I474" s="3" t="s">
        <v>47</v>
      </c>
      <c r="J474" s="3">
        <v>0.3</v>
      </c>
      <c r="K474" s="3">
        <v>17000.0</v>
      </c>
      <c r="L474" s="3" t="s">
        <v>314</v>
      </c>
      <c r="M474" s="3" t="str">
        <f t="shared" si="1"/>
        <v>Below Target</v>
      </c>
      <c r="N474" s="10">
        <f t="shared" si="2"/>
        <v>0.5160680529</v>
      </c>
      <c r="O474" s="11">
        <f t="shared" si="3"/>
        <v>0.3</v>
      </c>
      <c r="P474" s="12">
        <f t="shared" si="4"/>
        <v>11211.2</v>
      </c>
    </row>
    <row r="475" ht="12.75" customHeight="1">
      <c r="A475" s="3" t="s">
        <v>794</v>
      </c>
      <c r="B475" s="3" t="s">
        <v>233</v>
      </c>
      <c r="C475" s="3" t="s">
        <v>45</v>
      </c>
      <c r="D475" s="3" t="s">
        <v>22</v>
      </c>
      <c r="E475" s="3" t="s">
        <v>58</v>
      </c>
      <c r="F475" s="3" t="s">
        <v>41</v>
      </c>
      <c r="G475" s="3" t="s">
        <v>13</v>
      </c>
      <c r="H475" s="3">
        <v>18899.0</v>
      </c>
      <c r="K475" s="3">
        <v>17000.0</v>
      </c>
      <c r="L475" s="3" t="s">
        <v>77</v>
      </c>
      <c r="M475" s="3" t="str">
        <f t="shared" si="1"/>
        <v>Target Achieved</v>
      </c>
      <c r="N475" s="10">
        <f t="shared" si="2"/>
        <v>0.5170454545</v>
      </c>
      <c r="O475" s="11">
        <f t="shared" si="3"/>
        <v>0</v>
      </c>
      <c r="P475" s="12">
        <f t="shared" si="4"/>
        <v>18899</v>
      </c>
    </row>
    <row r="476" ht="12.75" customHeight="1">
      <c r="A476" s="3" t="s">
        <v>795</v>
      </c>
      <c r="B476" s="3" t="s">
        <v>427</v>
      </c>
      <c r="C476" s="3" t="s">
        <v>57</v>
      </c>
      <c r="D476" s="3" t="s">
        <v>19</v>
      </c>
      <c r="E476" s="3" t="s">
        <v>46</v>
      </c>
      <c r="F476" s="3" t="s">
        <v>21</v>
      </c>
      <c r="G476" s="3" t="s">
        <v>13</v>
      </c>
      <c r="H476" s="3">
        <v>14292.0</v>
      </c>
      <c r="I476" s="3" t="s">
        <v>23</v>
      </c>
      <c r="J476" s="3">
        <v>0.2</v>
      </c>
      <c r="K476" s="3">
        <v>13000.0</v>
      </c>
      <c r="L476" s="15" t="s">
        <v>147</v>
      </c>
      <c r="M476" s="3" t="str">
        <f t="shared" si="1"/>
        <v>Target Achieved</v>
      </c>
      <c r="N476" s="10">
        <f t="shared" si="2"/>
        <v>0.5161290323</v>
      </c>
      <c r="O476" s="11">
        <f t="shared" si="3"/>
        <v>0.2</v>
      </c>
      <c r="P476" s="12">
        <f t="shared" si="4"/>
        <v>11433.6</v>
      </c>
    </row>
    <row r="477" ht="12.75" customHeight="1">
      <c r="A477" s="3" t="s">
        <v>796</v>
      </c>
      <c r="B477" s="3" t="s">
        <v>205</v>
      </c>
      <c r="C477" s="3" t="s">
        <v>57</v>
      </c>
      <c r="D477" s="3" t="s">
        <v>19</v>
      </c>
      <c r="E477" s="3" t="s">
        <v>46</v>
      </c>
      <c r="F477" s="3" t="s">
        <v>41</v>
      </c>
      <c r="G477" s="3" t="s">
        <v>11</v>
      </c>
      <c r="H477" s="3">
        <v>12524.0</v>
      </c>
      <c r="I477" s="3" t="s">
        <v>37</v>
      </c>
      <c r="J477" s="3">
        <v>0.1</v>
      </c>
      <c r="K477" s="3">
        <v>13000.0</v>
      </c>
      <c r="L477" s="15" t="s">
        <v>275</v>
      </c>
      <c r="M477" s="3" t="str">
        <f t="shared" si="1"/>
        <v>Below Target</v>
      </c>
      <c r="N477" s="10">
        <f t="shared" si="2"/>
        <v>0.5152091255</v>
      </c>
      <c r="O477" s="11">
        <f t="shared" si="3"/>
        <v>0.1</v>
      </c>
      <c r="P477" s="12">
        <f t="shared" si="4"/>
        <v>11271.6</v>
      </c>
    </row>
    <row r="478" ht="12.75" customHeight="1">
      <c r="A478" s="3" t="s">
        <v>797</v>
      </c>
      <c r="B478" s="3" t="s">
        <v>385</v>
      </c>
      <c r="C478" s="3" t="s">
        <v>18</v>
      </c>
      <c r="D478" s="3" t="s">
        <v>16</v>
      </c>
      <c r="E478" s="3" t="s">
        <v>46</v>
      </c>
      <c r="F478" s="3" t="s">
        <v>41</v>
      </c>
      <c r="G478" s="3" t="s">
        <v>13</v>
      </c>
      <c r="H478" s="3">
        <v>15696.0</v>
      </c>
      <c r="K478" s="3">
        <v>14000.0</v>
      </c>
      <c r="L478" s="3" t="s">
        <v>330</v>
      </c>
      <c r="M478" s="3" t="str">
        <f t="shared" si="1"/>
        <v>Target Achieved</v>
      </c>
      <c r="N478" s="10">
        <f t="shared" si="2"/>
        <v>0.5161904762</v>
      </c>
      <c r="O478" s="11">
        <f t="shared" si="3"/>
        <v>0</v>
      </c>
      <c r="P478" s="12">
        <f t="shared" si="4"/>
        <v>15696</v>
      </c>
    </row>
    <row r="479" ht="12.75" customHeight="1">
      <c r="A479" s="3" t="s">
        <v>798</v>
      </c>
      <c r="B479" s="3" t="s">
        <v>421</v>
      </c>
      <c r="C479" s="3" t="s">
        <v>45</v>
      </c>
      <c r="D479" s="3" t="s">
        <v>22</v>
      </c>
      <c r="E479" s="3" t="s">
        <v>46</v>
      </c>
      <c r="F479" s="3" t="s">
        <v>41</v>
      </c>
      <c r="G479" s="3" t="s">
        <v>11</v>
      </c>
      <c r="H479" s="3">
        <v>15207.0</v>
      </c>
      <c r="I479" s="3" t="s">
        <v>23</v>
      </c>
      <c r="J479" s="3">
        <v>0.2</v>
      </c>
      <c r="K479" s="3">
        <v>17000.0</v>
      </c>
      <c r="L479" s="3" t="s">
        <v>80</v>
      </c>
      <c r="M479" s="3" t="str">
        <f t="shared" si="1"/>
        <v>Below Target</v>
      </c>
      <c r="N479" s="10">
        <f t="shared" si="2"/>
        <v>0.5152671756</v>
      </c>
      <c r="O479" s="11">
        <f t="shared" si="3"/>
        <v>0.2</v>
      </c>
      <c r="P479" s="12">
        <f t="shared" si="4"/>
        <v>12165.6</v>
      </c>
    </row>
    <row r="480" ht="12.75" customHeight="1">
      <c r="A480" s="3" t="s">
        <v>799</v>
      </c>
      <c r="B480" s="3" t="s">
        <v>434</v>
      </c>
      <c r="C480" s="3" t="s">
        <v>76</v>
      </c>
      <c r="D480" s="3" t="s">
        <v>24</v>
      </c>
      <c r="E480" s="3" t="s">
        <v>58</v>
      </c>
      <c r="F480" s="3" t="s">
        <v>41</v>
      </c>
      <c r="G480" s="3" t="s">
        <v>11</v>
      </c>
      <c r="H480" s="3">
        <v>9798.0</v>
      </c>
      <c r="K480" s="3">
        <v>9000.0</v>
      </c>
      <c r="L480" s="15" t="s">
        <v>316</v>
      </c>
      <c r="M480" s="3" t="str">
        <f t="shared" si="1"/>
        <v>Target Achieved</v>
      </c>
      <c r="N480" s="10">
        <f t="shared" si="2"/>
        <v>0.5162523901</v>
      </c>
      <c r="O480" s="11">
        <f t="shared" si="3"/>
        <v>0</v>
      </c>
      <c r="P480" s="12">
        <f t="shared" si="4"/>
        <v>9798</v>
      </c>
    </row>
    <row r="481" ht="12.75" customHeight="1">
      <c r="A481" s="3" t="s">
        <v>800</v>
      </c>
      <c r="B481" s="3" t="s">
        <v>508</v>
      </c>
      <c r="C481" s="3" t="s">
        <v>57</v>
      </c>
      <c r="D481" s="3" t="s">
        <v>19</v>
      </c>
      <c r="E481" s="3" t="s">
        <v>58</v>
      </c>
      <c r="F481" s="3" t="s">
        <v>21</v>
      </c>
      <c r="G481" s="3" t="s">
        <v>11</v>
      </c>
      <c r="H481" s="3">
        <v>14618.0</v>
      </c>
      <c r="I481" s="3" t="s">
        <v>23</v>
      </c>
      <c r="J481" s="3">
        <v>0.2</v>
      </c>
      <c r="K481" s="3">
        <v>13000.0</v>
      </c>
      <c r="L481" s="15" t="s">
        <v>341</v>
      </c>
      <c r="M481" s="3" t="str">
        <f t="shared" si="1"/>
        <v>Target Achieved</v>
      </c>
      <c r="N481" s="10">
        <f t="shared" si="2"/>
        <v>0.5153256705</v>
      </c>
      <c r="O481" s="11">
        <f t="shared" si="3"/>
        <v>0.2</v>
      </c>
      <c r="P481" s="12">
        <f t="shared" si="4"/>
        <v>11694.4</v>
      </c>
    </row>
    <row r="482" ht="12.75" customHeight="1">
      <c r="A482" s="3" t="s">
        <v>801</v>
      </c>
      <c r="B482" s="3" t="s">
        <v>248</v>
      </c>
      <c r="C482" s="3" t="s">
        <v>57</v>
      </c>
      <c r="D482" s="3" t="s">
        <v>19</v>
      </c>
      <c r="E482" s="3" t="s">
        <v>20</v>
      </c>
      <c r="F482" s="3" t="s">
        <v>21</v>
      </c>
      <c r="G482" s="3" t="s">
        <v>11</v>
      </c>
      <c r="H482" s="3">
        <v>12687.0</v>
      </c>
      <c r="I482" s="3" t="s">
        <v>42</v>
      </c>
      <c r="K482" s="3">
        <v>13000.0</v>
      </c>
      <c r="L482" s="3" t="s">
        <v>283</v>
      </c>
      <c r="M482" s="3" t="str">
        <f t="shared" si="1"/>
        <v>Below Target</v>
      </c>
      <c r="N482" s="10">
        <f t="shared" si="2"/>
        <v>0.5143953935</v>
      </c>
      <c r="O482" s="11" t="str">
        <f t="shared" si="3"/>
        <v/>
      </c>
      <c r="P482" s="12">
        <f t="shared" si="4"/>
        <v>10783.95</v>
      </c>
    </row>
    <row r="483" ht="12.75" customHeight="1">
      <c r="A483" s="3" t="s">
        <v>802</v>
      </c>
      <c r="B483" s="3" t="s">
        <v>100</v>
      </c>
      <c r="C483" s="3" t="s">
        <v>45</v>
      </c>
      <c r="D483" s="3" t="s">
        <v>22</v>
      </c>
      <c r="E483" s="3" t="s">
        <v>58</v>
      </c>
      <c r="F483" s="3" t="s">
        <v>41</v>
      </c>
      <c r="G483" s="3" t="s">
        <v>11</v>
      </c>
      <c r="H483" s="3">
        <v>15816.0</v>
      </c>
      <c r="I483" s="3" t="s">
        <v>42</v>
      </c>
      <c r="K483" s="3">
        <v>17000.0</v>
      </c>
      <c r="L483" s="3" t="s">
        <v>245</v>
      </c>
      <c r="M483" s="3" t="str">
        <f t="shared" si="1"/>
        <v>Below Target</v>
      </c>
      <c r="N483" s="10">
        <f t="shared" si="2"/>
        <v>0.5153846154</v>
      </c>
      <c r="O483" s="11" t="str">
        <f t="shared" si="3"/>
        <v/>
      </c>
      <c r="P483" s="12">
        <f t="shared" si="4"/>
        <v>13443.6</v>
      </c>
    </row>
    <row r="484" ht="12.75" customHeight="1">
      <c r="A484" s="3" t="s">
        <v>803</v>
      </c>
      <c r="B484" s="3" t="s">
        <v>361</v>
      </c>
      <c r="C484" s="3" t="s">
        <v>18</v>
      </c>
      <c r="D484" s="3" t="s">
        <v>16</v>
      </c>
      <c r="E484" s="3" t="s">
        <v>58</v>
      </c>
      <c r="F484" s="3" t="s">
        <v>52</v>
      </c>
      <c r="G484" s="3" t="s">
        <v>11</v>
      </c>
      <c r="H484" s="3">
        <v>13964.0</v>
      </c>
      <c r="I484" s="3" t="s">
        <v>42</v>
      </c>
      <c r="K484" s="3">
        <v>14000.0</v>
      </c>
      <c r="L484" s="3" t="s">
        <v>328</v>
      </c>
      <c r="M484" s="3" t="str">
        <f t="shared" si="1"/>
        <v>Below Target</v>
      </c>
      <c r="N484" s="10">
        <f t="shared" si="2"/>
        <v>0.5163776493</v>
      </c>
      <c r="O484" s="11" t="str">
        <f t="shared" si="3"/>
        <v/>
      </c>
      <c r="P484" s="12">
        <f t="shared" si="4"/>
        <v>11869.4</v>
      </c>
    </row>
    <row r="485" ht="12.75" customHeight="1">
      <c r="A485" s="3" t="s">
        <v>804</v>
      </c>
      <c r="B485" s="3" t="s">
        <v>240</v>
      </c>
      <c r="C485" s="3" t="s">
        <v>45</v>
      </c>
      <c r="D485" s="3" t="s">
        <v>22</v>
      </c>
      <c r="E485" s="3" t="s">
        <v>58</v>
      </c>
      <c r="F485" s="3" t="s">
        <v>21</v>
      </c>
      <c r="G485" s="3" t="s">
        <v>13</v>
      </c>
      <c r="H485" s="3">
        <v>15106.0</v>
      </c>
      <c r="I485" s="3" t="s">
        <v>47</v>
      </c>
      <c r="J485" s="3">
        <v>0.3</v>
      </c>
      <c r="K485" s="3">
        <v>17000.0</v>
      </c>
      <c r="L485" s="15" t="s">
        <v>130</v>
      </c>
      <c r="M485" s="3" t="str">
        <f t="shared" si="1"/>
        <v>Below Target</v>
      </c>
      <c r="N485" s="10">
        <f t="shared" si="2"/>
        <v>0.5173745174</v>
      </c>
      <c r="O485" s="11">
        <f t="shared" si="3"/>
        <v>0.3</v>
      </c>
      <c r="P485" s="12">
        <f t="shared" si="4"/>
        <v>10574.2</v>
      </c>
    </row>
    <row r="486" ht="12.75" customHeight="1">
      <c r="A486" s="3" t="s">
        <v>805</v>
      </c>
      <c r="B486" s="3" t="s">
        <v>600</v>
      </c>
      <c r="C486" s="3" t="s">
        <v>45</v>
      </c>
      <c r="D486" s="3" t="s">
        <v>22</v>
      </c>
      <c r="E486" s="3" t="s">
        <v>46</v>
      </c>
      <c r="F486" s="3" t="s">
        <v>21</v>
      </c>
      <c r="G486" s="3" t="s">
        <v>12</v>
      </c>
      <c r="H486" s="3">
        <v>16464.0</v>
      </c>
      <c r="I486" s="3" t="s">
        <v>42</v>
      </c>
      <c r="K486" s="3">
        <v>17000.0</v>
      </c>
      <c r="L486" s="3" t="s">
        <v>221</v>
      </c>
      <c r="M486" s="3" t="str">
        <f t="shared" si="1"/>
        <v>Below Target</v>
      </c>
      <c r="N486" s="10">
        <f t="shared" si="2"/>
        <v>0.5183752418</v>
      </c>
      <c r="O486" s="11" t="str">
        <f t="shared" si="3"/>
        <v/>
      </c>
      <c r="P486" s="12">
        <f t="shared" si="4"/>
        <v>13994.4</v>
      </c>
    </row>
    <row r="487" ht="12.75" customHeight="1">
      <c r="A487" s="3" t="s">
        <v>806</v>
      </c>
      <c r="B487" s="3" t="s">
        <v>421</v>
      </c>
      <c r="C487" s="3" t="s">
        <v>57</v>
      </c>
      <c r="D487" s="3" t="s">
        <v>19</v>
      </c>
      <c r="E487" s="3" t="s">
        <v>20</v>
      </c>
      <c r="F487" s="3" t="s">
        <v>41</v>
      </c>
      <c r="G487" s="3" t="s">
        <v>11</v>
      </c>
      <c r="H487" s="3">
        <v>13185.0</v>
      </c>
      <c r="I487" s="3" t="s">
        <v>37</v>
      </c>
      <c r="J487" s="3">
        <v>0.1</v>
      </c>
      <c r="K487" s="3">
        <v>13000.0</v>
      </c>
      <c r="L487" s="3" t="s">
        <v>323</v>
      </c>
      <c r="M487" s="3" t="str">
        <f t="shared" si="1"/>
        <v>Target Achieved</v>
      </c>
      <c r="N487" s="10">
        <f t="shared" si="2"/>
        <v>0.519379845</v>
      </c>
      <c r="O487" s="11">
        <f t="shared" si="3"/>
        <v>0.1</v>
      </c>
      <c r="P487" s="12">
        <f t="shared" si="4"/>
        <v>11866.5</v>
      </c>
    </row>
    <row r="488" ht="12.75" customHeight="1">
      <c r="A488" s="3" t="s">
        <v>807</v>
      </c>
      <c r="B488" s="3" t="s">
        <v>70</v>
      </c>
      <c r="C488" s="3" t="s">
        <v>76</v>
      </c>
      <c r="D488" s="3" t="s">
        <v>24</v>
      </c>
      <c r="E488" s="3" t="s">
        <v>58</v>
      </c>
      <c r="F488" s="3" t="s">
        <v>41</v>
      </c>
      <c r="G488" s="3" t="s">
        <v>13</v>
      </c>
      <c r="H488" s="3">
        <v>7968.0</v>
      </c>
      <c r="I488" s="3" t="s">
        <v>42</v>
      </c>
      <c r="K488" s="3">
        <v>9000.0</v>
      </c>
      <c r="L488" s="3" t="s">
        <v>303</v>
      </c>
      <c r="M488" s="3" t="str">
        <f t="shared" si="1"/>
        <v>Below Target</v>
      </c>
      <c r="N488" s="10">
        <f t="shared" si="2"/>
        <v>0.5184466019</v>
      </c>
      <c r="O488" s="11" t="str">
        <f t="shared" si="3"/>
        <v/>
      </c>
      <c r="P488" s="12">
        <f t="shared" si="4"/>
        <v>6772.8</v>
      </c>
    </row>
    <row r="489" ht="12.75" customHeight="1">
      <c r="A489" s="3" t="s">
        <v>808</v>
      </c>
      <c r="B489" s="3" t="s">
        <v>390</v>
      </c>
      <c r="C489" s="3" t="s">
        <v>45</v>
      </c>
      <c r="D489" s="3" t="s">
        <v>22</v>
      </c>
      <c r="E489" s="3" t="s">
        <v>20</v>
      </c>
      <c r="F489" s="3" t="s">
        <v>41</v>
      </c>
      <c r="G489" s="3" t="s">
        <v>12</v>
      </c>
      <c r="H489" s="3">
        <v>17869.0</v>
      </c>
      <c r="I489" s="3" t="s">
        <v>47</v>
      </c>
      <c r="J489" s="3">
        <v>0.3</v>
      </c>
      <c r="K489" s="3">
        <v>17000.0</v>
      </c>
      <c r="L489" s="15" t="s">
        <v>183</v>
      </c>
      <c r="M489" s="3" t="str">
        <f t="shared" si="1"/>
        <v>Target Achieved</v>
      </c>
      <c r="N489" s="10">
        <f t="shared" si="2"/>
        <v>0.5194552529</v>
      </c>
      <c r="O489" s="11">
        <f t="shared" si="3"/>
        <v>0.3</v>
      </c>
      <c r="P489" s="12">
        <f t="shared" si="4"/>
        <v>12508.3</v>
      </c>
    </row>
    <row r="490" ht="12.75" customHeight="1">
      <c r="A490" s="3" t="s">
        <v>809</v>
      </c>
      <c r="B490" s="3" t="s">
        <v>248</v>
      </c>
      <c r="C490" s="3" t="s">
        <v>57</v>
      </c>
      <c r="D490" s="3" t="s">
        <v>19</v>
      </c>
      <c r="E490" s="3" t="s">
        <v>20</v>
      </c>
      <c r="F490" s="3" t="s">
        <v>41</v>
      </c>
      <c r="G490" s="3" t="s">
        <v>11</v>
      </c>
      <c r="H490" s="3">
        <v>13220.0</v>
      </c>
      <c r="I490" s="3" t="s">
        <v>47</v>
      </c>
      <c r="J490" s="3">
        <v>0.3</v>
      </c>
      <c r="K490" s="3">
        <v>13000.0</v>
      </c>
      <c r="L490" s="15" t="s">
        <v>316</v>
      </c>
      <c r="M490" s="3" t="str">
        <f t="shared" si="1"/>
        <v>Target Achieved</v>
      </c>
      <c r="N490" s="10">
        <f t="shared" si="2"/>
        <v>0.5185185185</v>
      </c>
      <c r="O490" s="11">
        <f t="shared" si="3"/>
        <v>0.3</v>
      </c>
      <c r="P490" s="12">
        <f t="shared" si="4"/>
        <v>9254</v>
      </c>
    </row>
    <row r="491" ht="12.75" customHeight="1">
      <c r="A491" s="3" t="s">
        <v>810</v>
      </c>
      <c r="B491" s="3" t="s">
        <v>811</v>
      </c>
      <c r="C491" s="3" t="s">
        <v>18</v>
      </c>
      <c r="D491" s="3" t="s">
        <v>16</v>
      </c>
      <c r="E491" s="3" t="s">
        <v>46</v>
      </c>
      <c r="F491" s="3" t="s">
        <v>41</v>
      </c>
      <c r="G491" s="3" t="s">
        <v>12</v>
      </c>
      <c r="H491" s="3">
        <v>12896.0</v>
      </c>
      <c r="I491" s="3" t="s">
        <v>37</v>
      </c>
      <c r="J491" s="3">
        <v>0.1</v>
      </c>
      <c r="K491" s="3">
        <v>14000.0</v>
      </c>
      <c r="L491" s="15" t="s">
        <v>344</v>
      </c>
      <c r="M491" s="3" t="str">
        <f t="shared" si="1"/>
        <v>Below Target</v>
      </c>
      <c r="N491" s="10">
        <f t="shared" si="2"/>
        <v>0.517578125</v>
      </c>
      <c r="O491" s="11">
        <f t="shared" si="3"/>
        <v>0.1</v>
      </c>
      <c r="P491" s="12">
        <f t="shared" si="4"/>
        <v>11606.4</v>
      </c>
    </row>
    <row r="492" ht="12.75" customHeight="1">
      <c r="A492" s="3" t="s">
        <v>812</v>
      </c>
      <c r="B492" s="3" t="s">
        <v>811</v>
      </c>
      <c r="C492" s="3" t="s">
        <v>45</v>
      </c>
      <c r="D492" s="3" t="s">
        <v>22</v>
      </c>
      <c r="E492" s="3" t="s">
        <v>20</v>
      </c>
      <c r="F492" s="3" t="s">
        <v>41</v>
      </c>
      <c r="G492" s="3" t="s">
        <v>13</v>
      </c>
      <c r="H492" s="3">
        <v>16395.0</v>
      </c>
      <c r="I492" s="3" t="s">
        <v>23</v>
      </c>
      <c r="J492" s="3">
        <v>0.2</v>
      </c>
      <c r="K492" s="3">
        <v>17000.0</v>
      </c>
      <c r="L492" s="3" t="s">
        <v>340</v>
      </c>
      <c r="M492" s="3" t="str">
        <f t="shared" si="1"/>
        <v>Below Target</v>
      </c>
      <c r="N492" s="10">
        <f t="shared" si="2"/>
        <v>0.518590998</v>
      </c>
      <c r="O492" s="11">
        <f t="shared" si="3"/>
        <v>0.2</v>
      </c>
      <c r="P492" s="12">
        <f t="shared" si="4"/>
        <v>13116</v>
      </c>
    </row>
    <row r="493" ht="12.75" customHeight="1">
      <c r="A493" s="3" t="s">
        <v>813</v>
      </c>
      <c r="B493" s="3" t="s">
        <v>180</v>
      </c>
      <c r="C493" s="3" t="s">
        <v>45</v>
      </c>
      <c r="D493" s="3" t="s">
        <v>22</v>
      </c>
      <c r="E493" s="3" t="s">
        <v>46</v>
      </c>
      <c r="F493" s="3" t="s">
        <v>41</v>
      </c>
      <c r="G493" s="3" t="s">
        <v>13</v>
      </c>
      <c r="H493" s="3">
        <v>17402.0</v>
      </c>
      <c r="I493" s="3" t="s">
        <v>23</v>
      </c>
      <c r="J493" s="3">
        <v>0.2</v>
      </c>
      <c r="K493" s="3">
        <v>17000.0</v>
      </c>
      <c r="L493" s="3" t="s">
        <v>324</v>
      </c>
      <c r="M493" s="3" t="str">
        <f t="shared" si="1"/>
        <v>Target Achieved</v>
      </c>
      <c r="N493" s="10">
        <f t="shared" si="2"/>
        <v>0.5196078431</v>
      </c>
      <c r="O493" s="11">
        <f t="shared" si="3"/>
        <v>0.2</v>
      </c>
      <c r="P493" s="12">
        <f t="shared" si="4"/>
        <v>13921.6</v>
      </c>
    </row>
    <row r="494" ht="12.75" customHeight="1">
      <c r="A494" s="3" t="s">
        <v>814</v>
      </c>
      <c r="B494" s="3" t="s">
        <v>202</v>
      </c>
      <c r="C494" s="3" t="s">
        <v>45</v>
      </c>
      <c r="D494" s="3" t="s">
        <v>22</v>
      </c>
      <c r="E494" s="3" t="s">
        <v>46</v>
      </c>
      <c r="F494" s="3" t="s">
        <v>21</v>
      </c>
      <c r="G494" s="3" t="s">
        <v>12</v>
      </c>
      <c r="H494" s="3">
        <v>18858.0</v>
      </c>
      <c r="K494" s="3">
        <v>17000.0</v>
      </c>
      <c r="L494" s="15" t="s">
        <v>275</v>
      </c>
      <c r="M494" s="3" t="str">
        <f t="shared" si="1"/>
        <v>Target Achieved</v>
      </c>
      <c r="N494" s="10">
        <f t="shared" si="2"/>
        <v>0.5186640472</v>
      </c>
      <c r="O494" s="11">
        <f t="shared" si="3"/>
        <v>0</v>
      </c>
      <c r="P494" s="12">
        <f t="shared" si="4"/>
        <v>18858</v>
      </c>
    </row>
    <row r="495" ht="12.75" customHeight="1">
      <c r="A495" s="3" t="s">
        <v>815</v>
      </c>
      <c r="B495" s="3" t="s">
        <v>532</v>
      </c>
      <c r="C495" s="3" t="s">
        <v>45</v>
      </c>
      <c r="D495" s="3" t="s">
        <v>22</v>
      </c>
      <c r="E495" s="3" t="s">
        <v>58</v>
      </c>
      <c r="F495" s="3" t="s">
        <v>41</v>
      </c>
      <c r="G495" s="3" t="s">
        <v>13</v>
      </c>
      <c r="H495" s="3">
        <v>17999.0</v>
      </c>
      <c r="K495" s="3">
        <v>17000.0</v>
      </c>
      <c r="L495" s="3" t="s">
        <v>328</v>
      </c>
      <c r="M495" s="3" t="str">
        <f t="shared" si="1"/>
        <v>Target Achieved</v>
      </c>
      <c r="N495" s="10">
        <f t="shared" si="2"/>
        <v>0.5177165354</v>
      </c>
      <c r="O495" s="11">
        <f t="shared" si="3"/>
        <v>0</v>
      </c>
      <c r="P495" s="12">
        <f t="shared" si="4"/>
        <v>17999</v>
      </c>
    </row>
    <row r="496" ht="12.75" customHeight="1">
      <c r="A496" s="3" t="s">
        <v>816</v>
      </c>
      <c r="B496" s="3" t="s">
        <v>691</v>
      </c>
      <c r="C496" s="3" t="s">
        <v>45</v>
      </c>
      <c r="D496" s="3" t="s">
        <v>22</v>
      </c>
      <c r="E496" s="3" t="s">
        <v>46</v>
      </c>
      <c r="F496" s="3" t="s">
        <v>52</v>
      </c>
      <c r="G496" s="3" t="s">
        <v>12</v>
      </c>
      <c r="H496" s="3">
        <v>17840.0</v>
      </c>
      <c r="I496" s="3" t="s">
        <v>42</v>
      </c>
      <c r="K496" s="3">
        <v>17000.0</v>
      </c>
      <c r="L496" s="3" t="s">
        <v>328</v>
      </c>
      <c r="M496" s="3" t="str">
        <f t="shared" si="1"/>
        <v>Target Achieved</v>
      </c>
      <c r="N496" s="10">
        <f t="shared" si="2"/>
        <v>0.516765286</v>
      </c>
      <c r="O496" s="11" t="str">
        <f t="shared" si="3"/>
        <v/>
      </c>
      <c r="P496" s="12">
        <f t="shared" si="4"/>
        <v>15164</v>
      </c>
    </row>
    <row r="497" ht="12.75" customHeight="1">
      <c r="A497" s="3" t="s">
        <v>817</v>
      </c>
      <c r="B497" s="3" t="s">
        <v>508</v>
      </c>
      <c r="C497" s="3" t="s">
        <v>57</v>
      </c>
      <c r="D497" s="3" t="s">
        <v>19</v>
      </c>
      <c r="E497" s="3" t="s">
        <v>58</v>
      </c>
      <c r="F497" s="3" t="s">
        <v>21</v>
      </c>
      <c r="G497" s="3" t="s">
        <v>12</v>
      </c>
      <c r="H497" s="3">
        <v>13820.0</v>
      </c>
      <c r="I497" s="3" t="s">
        <v>47</v>
      </c>
      <c r="J497" s="3">
        <v>0.3</v>
      </c>
      <c r="K497" s="3">
        <v>13000.0</v>
      </c>
      <c r="L497" s="15" t="s">
        <v>353</v>
      </c>
      <c r="M497" s="3" t="str">
        <f t="shared" si="1"/>
        <v>Target Achieved</v>
      </c>
      <c r="N497" s="10">
        <f t="shared" si="2"/>
        <v>0.5158102767</v>
      </c>
      <c r="O497" s="11">
        <f t="shared" si="3"/>
        <v>0.3</v>
      </c>
      <c r="P497" s="12">
        <f t="shared" si="4"/>
        <v>9674</v>
      </c>
    </row>
    <row r="498" ht="12.75" customHeight="1">
      <c r="A498" s="3" t="s">
        <v>818</v>
      </c>
      <c r="B498" s="3" t="s">
        <v>372</v>
      </c>
      <c r="C498" s="3" t="s">
        <v>18</v>
      </c>
      <c r="D498" s="3" t="s">
        <v>16</v>
      </c>
      <c r="E498" s="3" t="s">
        <v>20</v>
      </c>
      <c r="F498" s="3" t="s">
        <v>52</v>
      </c>
      <c r="G498" s="3" t="s">
        <v>11</v>
      </c>
      <c r="H498" s="3">
        <v>15484.0</v>
      </c>
      <c r="I498" s="3" t="s">
        <v>42</v>
      </c>
      <c r="K498" s="3">
        <v>14000.0</v>
      </c>
      <c r="L498" s="15" t="s">
        <v>341</v>
      </c>
      <c r="M498" s="3" t="str">
        <f t="shared" si="1"/>
        <v>Target Achieved</v>
      </c>
      <c r="N498" s="10">
        <f t="shared" si="2"/>
        <v>0.5148514851</v>
      </c>
      <c r="O498" s="11" t="str">
        <f t="shared" si="3"/>
        <v/>
      </c>
      <c r="P498" s="12">
        <f t="shared" si="4"/>
        <v>13161.4</v>
      </c>
    </row>
    <row r="499" ht="12.75" customHeight="1">
      <c r="A499" s="3" t="s">
        <v>819</v>
      </c>
      <c r="B499" s="3" t="s">
        <v>820</v>
      </c>
      <c r="C499" s="3" t="s">
        <v>45</v>
      </c>
      <c r="D499" s="3" t="s">
        <v>22</v>
      </c>
      <c r="E499" s="3" t="s">
        <v>20</v>
      </c>
      <c r="F499" s="3" t="s">
        <v>41</v>
      </c>
      <c r="G499" s="3" t="s">
        <v>12</v>
      </c>
      <c r="H499" s="3">
        <v>17316.0</v>
      </c>
      <c r="I499" s="3" t="s">
        <v>37</v>
      </c>
      <c r="J499" s="3">
        <v>0.1</v>
      </c>
      <c r="K499" s="3">
        <v>17000.0</v>
      </c>
      <c r="L499" s="3" t="s">
        <v>80</v>
      </c>
      <c r="M499" s="3" t="str">
        <f t="shared" si="1"/>
        <v>Target Achieved</v>
      </c>
      <c r="N499" s="10">
        <f t="shared" si="2"/>
        <v>0.5138888889</v>
      </c>
      <c r="O499" s="11">
        <f t="shared" si="3"/>
        <v>0.1</v>
      </c>
      <c r="P499" s="12">
        <f t="shared" si="4"/>
        <v>15584.4</v>
      </c>
    </row>
    <row r="500" ht="12.75" customHeight="1">
      <c r="A500" s="3" t="s">
        <v>821</v>
      </c>
      <c r="B500" s="3" t="s">
        <v>608</v>
      </c>
      <c r="C500" s="3" t="s">
        <v>45</v>
      </c>
      <c r="D500" s="3" t="s">
        <v>22</v>
      </c>
      <c r="E500" s="3" t="s">
        <v>20</v>
      </c>
      <c r="F500" s="3" t="s">
        <v>41</v>
      </c>
      <c r="G500" s="3" t="s">
        <v>13</v>
      </c>
      <c r="H500" s="3">
        <v>16420.0</v>
      </c>
      <c r="I500" s="3" t="s">
        <v>47</v>
      </c>
      <c r="J500" s="3">
        <v>0.3</v>
      </c>
      <c r="K500" s="3">
        <v>17000.0</v>
      </c>
      <c r="L500" s="15" t="s">
        <v>103</v>
      </c>
      <c r="M500" s="3" t="str">
        <f t="shared" si="1"/>
        <v>Below Target</v>
      </c>
      <c r="N500" s="10">
        <f t="shared" si="2"/>
        <v>0.5129224652</v>
      </c>
      <c r="O500" s="11">
        <f t="shared" si="3"/>
        <v>0.3</v>
      </c>
      <c r="P500" s="12">
        <f t="shared" si="4"/>
        <v>11494</v>
      </c>
    </row>
    <row r="501" ht="12.75" customHeight="1">
      <c r="A501" s="3" t="s">
        <v>822</v>
      </c>
      <c r="B501" s="3" t="s">
        <v>17</v>
      </c>
      <c r="C501" s="3" t="s">
        <v>45</v>
      </c>
      <c r="D501" s="3" t="s">
        <v>22</v>
      </c>
      <c r="E501" s="3" t="s">
        <v>58</v>
      </c>
      <c r="F501" s="3" t="s">
        <v>41</v>
      </c>
      <c r="G501" s="3" t="s">
        <v>11</v>
      </c>
      <c r="H501" s="3">
        <v>15858.0</v>
      </c>
      <c r="I501" s="3" t="s">
        <v>23</v>
      </c>
      <c r="J501" s="3">
        <v>0.2</v>
      </c>
      <c r="K501" s="3">
        <v>17000.0</v>
      </c>
      <c r="L501" s="3" t="s">
        <v>96</v>
      </c>
      <c r="M501" s="3" t="str">
        <f t="shared" si="1"/>
        <v>Below Target</v>
      </c>
      <c r="N501" s="10">
        <f t="shared" si="2"/>
        <v>0.5139442231</v>
      </c>
      <c r="O501" s="11">
        <f t="shared" si="3"/>
        <v>0.2</v>
      </c>
      <c r="P501" s="12">
        <f t="shared" si="4"/>
        <v>12686.4</v>
      </c>
    </row>
    <row r="502" ht="12.75" customHeight="1">
      <c r="A502" s="3" t="s">
        <v>823</v>
      </c>
      <c r="B502" s="3" t="s">
        <v>532</v>
      </c>
      <c r="C502" s="3" t="s">
        <v>45</v>
      </c>
      <c r="D502" s="3" t="s">
        <v>22</v>
      </c>
      <c r="E502" s="3" t="s">
        <v>46</v>
      </c>
      <c r="F502" s="3" t="s">
        <v>52</v>
      </c>
      <c r="G502" s="3" t="s">
        <v>13</v>
      </c>
      <c r="H502" s="3">
        <v>15197.0</v>
      </c>
      <c r="K502" s="3">
        <v>17000.0</v>
      </c>
      <c r="L502" s="3" t="s">
        <v>203</v>
      </c>
      <c r="M502" s="3" t="str">
        <f t="shared" si="1"/>
        <v>Below Target</v>
      </c>
      <c r="N502" s="10">
        <f t="shared" si="2"/>
        <v>0.5149700599</v>
      </c>
      <c r="O502" s="11">
        <f t="shared" si="3"/>
        <v>0</v>
      </c>
      <c r="P502" s="12">
        <f t="shared" si="4"/>
        <v>15197</v>
      </c>
    </row>
    <row r="503" ht="12.75" customHeight="1">
      <c r="A503" s="3" t="s">
        <v>824</v>
      </c>
      <c r="B503" s="3" t="s">
        <v>166</v>
      </c>
      <c r="C503" s="3" t="s">
        <v>57</v>
      </c>
      <c r="D503" s="3" t="s">
        <v>19</v>
      </c>
      <c r="E503" s="3" t="s">
        <v>58</v>
      </c>
      <c r="F503" s="3" t="s">
        <v>21</v>
      </c>
      <c r="G503" s="3" t="s">
        <v>11</v>
      </c>
      <c r="H503" s="3">
        <v>12438.0</v>
      </c>
      <c r="I503" s="3" t="s">
        <v>42</v>
      </c>
      <c r="K503" s="3">
        <v>13000.0</v>
      </c>
      <c r="L503" s="3" t="s">
        <v>88</v>
      </c>
      <c r="M503" s="3" t="str">
        <f t="shared" si="1"/>
        <v>Below Target</v>
      </c>
      <c r="N503" s="10">
        <f t="shared" si="2"/>
        <v>0.516</v>
      </c>
      <c r="O503" s="11" t="str">
        <f t="shared" si="3"/>
        <v/>
      </c>
      <c r="P503" s="12">
        <f t="shared" si="4"/>
        <v>10572.3</v>
      </c>
    </row>
    <row r="504" ht="12.75" customHeight="1">
      <c r="A504" s="3" t="s">
        <v>825</v>
      </c>
      <c r="B504" s="3" t="s">
        <v>202</v>
      </c>
      <c r="C504" s="3" t="s">
        <v>76</v>
      </c>
      <c r="D504" s="3" t="s">
        <v>24</v>
      </c>
      <c r="E504" s="3" t="s">
        <v>20</v>
      </c>
      <c r="F504" s="3" t="s">
        <v>52</v>
      </c>
      <c r="G504" s="3" t="s">
        <v>12</v>
      </c>
      <c r="H504" s="3">
        <v>7923.0</v>
      </c>
      <c r="I504" s="3" t="s">
        <v>23</v>
      </c>
      <c r="J504" s="3">
        <v>0.2</v>
      </c>
      <c r="K504" s="3">
        <v>9000.0</v>
      </c>
      <c r="L504" s="3" t="s">
        <v>203</v>
      </c>
      <c r="M504" s="3" t="str">
        <f t="shared" si="1"/>
        <v>Below Target</v>
      </c>
      <c r="N504" s="10">
        <f t="shared" si="2"/>
        <v>0.5170340681</v>
      </c>
      <c r="O504" s="11">
        <f t="shared" si="3"/>
        <v>0.2</v>
      </c>
      <c r="P504" s="12">
        <f t="shared" si="4"/>
        <v>6338.4</v>
      </c>
    </row>
    <row r="505" ht="12.75" customHeight="1">
      <c r="A505" s="3" t="s">
        <v>826</v>
      </c>
      <c r="B505" s="3" t="s">
        <v>253</v>
      </c>
      <c r="C505" s="3" t="s">
        <v>18</v>
      </c>
      <c r="D505" s="3" t="s">
        <v>16</v>
      </c>
      <c r="E505" s="3" t="s">
        <v>58</v>
      </c>
      <c r="F505" s="3" t="s">
        <v>41</v>
      </c>
      <c r="G505" s="3" t="s">
        <v>11</v>
      </c>
      <c r="H505" s="3">
        <v>13069.0</v>
      </c>
      <c r="I505" s="3" t="s">
        <v>37</v>
      </c>
      <c r="J505" s="3">
        <v>0.1</v>
      </c>
      <c r="K505" s="3">
        <v>14000.0</v>
      </c>
      <c r="L505" s="15" t="s">
        <v>109</v>
      </c>
      <c r="M505" s="3" t="str">
        <f t="shared" si="1"/>
        <v>Below Target</v>
      </c>
      <c r="N505" s="10">
        <f t="shared" si="2"/>
        <v>0.5180722892</v>
      </c>
      <c r="O505" s="11">
        <f t="shared" si="3"/>
        <v>0.1</v>
      </c>
      <c r="P505" s="12">
        <f t="shared" si="4"/>
        <v>11762.1</v>
      </c>
    </row>
    <row r="506" ht="12.75" customHeight="1">
      <c r="A506" s="3" t="s">
        <v>827</v>
      </c>
      <c r="B506" s="3" t="s">
        <v>828</v>
      </c>
      <c r="C506" s="3" t="s">
        <v>76</v>
      </c>
      <c r="D506" s="3" t="s">
        <v>24</v>
      </c>
      <c r="E506" s="3" t="s">
        <v>46</v>
      </c>
      <c r="F506" s="3" t="s">
        <v>52</v>
      </c>
      <c r="G506" s="3" t="s">
        <v>13</v>
      </c>
      <c r="H506" s="3">
        <v>9240.0</v>
      </c>
      <c r="I506" s="3" t="s">
        <v>37</v>
      </c>
      <c r="J506" s="3">
        <v>0.1</v>
      </c>
      <c r="K506" s="3">
        <v>9000.0</v>
      </c>
      <c r="L506" s="3" t="s">
        <v>332</v>
      </c>
      <c r="M506" s="3" t="str">
        <f t="shared" si="1"/>
        <v>Target Achieved</v>
      </c>
      <c r="N506" s="10">
        <f t="shared" si="2"/>
        <v>0.5191146881</v>
      </c>
      <c r="O506" s="11">
        <f t="shared" si="3"/>
        <v>0.1</v>
      </c>
      <c r="P506" s="12">
        <f t="shared" si="4"/>
        <v>8316</v>
      </c>
    </row>
    <row r="507" ht="12.75" customHeight="1">
      <c r="A507" s="3" t="s">
        <v>829</v>
      </c>
      <c r="B507" s="3" t="s">
        <v>248</v>
      </c>
      <c r="C507" s="3" t="s">
        <v>76</v>
      </c>
      <c r="D507" s="3" t="s">
        <v>24</v>
      </c>
      <c r="E507" s="3" t="s">
        <v>20</v>
      </c>
      <c r="F507" s="3" t="s">
        <v>41</v>
      </c>
      <c r="G507" s="3" t="s">
        <v>11</v>
      </c>
      <c r="H507" s="3">
        <v>10860.0</v>
      </c>
      <c r="I507" s="3" t="s">
        <v>23</v>
      </c>
      <c r="J507" s="3">
        <v>0.2</v>
      </c>
      <c r="K507" s="3">
        <v>9000.0</v>
      </c>
      <c r="L507" s="15" t="s">
        <v>130</v>
      </c>
      <c r="M507" s="3" t="str">
        <f t="shared" si="1"/>
        <v>Target Achieved</v>
      </c>
      <c r="N507" s="10">
        <f t="shared" si="2"/>
        <v>0.5181451613</v>
      </c>
      <c r="O507" s="11">
        <f t="shared" si="3"/>
        <v>0.2</v>
      </c>
      <c r="P507" s="12">
        <f t="shared" si="4"/>
        <v>8688</v>
      </c>
    </row>
    <row r="508" ht="12.75" customHeight="1">
      <c r="A508" s="3" t="s">
        <v>830</v>
      </c>
      <c r="B508" s="3" t="s">
        <v>176</v>
      </c>
      <c r="C508" s="3" t="s">
        <v>57</v>
      </c>
      <c r="D508" s="3" t="s">
        <v>19</v>
      </c>
      <c r="E508" s="3" t="s">
        <v>46</v>
      </c>
      <c r="F508" s="3" t="s">
        <v>41</v>
      </c>
      <c r="G508" s="3" t="s">
        <v>11</v>
      </c>
      <c r="H508" s="3">
        <v>11841.0</v>
      </c>
      <c r="I508" s="3" t="s">
        <v>23</v>
      </c>
      <c r="J508" s="3">
        <v>0.2</v>
      </c>
      <c r="K508" s="3">
        <v>13000.0</v>
      </c>
      <c r="L508" s="3" t="s">
        <v>68</v>
      </c>
      <c r="M508" s="3" t="str">
        <f t="shared" si="1"/>
        <v>Below Target</v>
      </c>
      <c r="N508" s="10">
        <f t="shared" si="2"/>
        <v>0.5171717172</v>
      </c>
      <c r="O508" s="11">
        <f t="shared" si="3"/>
        <v>0.2</v>
      </c>
      <c r="P508" s="12">
        <f t="shared" si="4"/>
        <v>9472.8</v>
      </c>
    </row>
    <row r="509" ht="12.75" customHeight="1">
      <c r="A509" s="3" t="s">
        <v>831</v>
      </c>
      <c r="B509" s="3" t="s">
        <v>136</v>
      </c>
      <c r="C509" s="3" t="s">
        <v>45</v>
      </c>
      <c r="D509" s="3" t="s">
        <v>22</v>
      </c>
      <c r="E509" s="3" t="s">
        <v>20</v>
      </c>
      <c r="F509" s="3" t="s">
        <v>21</v>
      </c>
      <c r="G509" s="3" t="s">
        <v>11</v>
      </c>
      <c r="H509" s="3">
        <v>15972.0</v>
      </c>
      <c r="I509" s="3" t="s">
        <v>37</v>
      </c>
      <c r="J509" s="3">
        <v>0.1</v>
      </c>
      <c r="K509" s="3">
        <v>17000.0</v>
      </c>
      <c r="L509" s="15" t="s">
        <v>347</v>
      </c>
      <c r="M509" s="3" t="str">
        <f t="shared" si="1"/>
        <v>Below Target</v>
      </c>
      <c r="N509" s="10">
        <f t="shared" si="2"/>
        <v>0.5182186235</v>
      </c>
      <c r="O509" s="11">
        <f t="shared" si="3"/>
        <v>0.1</v>
      </c>
      <c r="P509" s="12">
        <f t="shared" si="4"/>
        <v>14374.8</v>
      </c>
    </row>
    <row r="510" ht="12.75" customHeight="1">
      <c r="A510" s="3" t="s">
        <v>832</v>
      </c>
      <c r="B510" s="3" t="s">
        <v>717</v>
      </c>
      <c r="C510" s="3" t="s">
        <v>76</v>
      </c>
      <c r="D510" s="3" t="s">
        <v>24</v>
      </c>
      <c r="E510" s="3" t="s">
        <v>46</v>
      </c>
      <c r="F510" s="3" t="s">
        <v>41</v>
      </c>
      <c r="G510" s="3" t="s">
        <v>11</v>
      </c>
      <c r="H510" s="3">
        <v>7015.0</v>
      </c>
      <c r="K510" s="3">
        <v>9000.0</v>
      </c>
      <c r="L510" s="15" t="s">
        <v>123</v>
      </c>
      <c r="M510" s="3" t="str">
        <f t="shared" si="1"/>
        <v>Below Target</v>
      </c>
      <c r="N510" s="10">
        <f t="shared" si="2"/>
        <v>0.5192697769</v>
      </c>
      <c r="O510" s="11">
        <f t="shared" si="3"/>
        <v>0</v>
      </c>
      <c r="P510" s="12">
        <f t="shared" si="4"/>
        <v>7015</v>
      </c>
    </row>
    <row r="511" ht="12.75" customHeight="1">
      <c r="A511" s="3" t="s">
        <v>833</v>
      </c>
      <c r="B511" s="3" t="s">
        <v>182</v>
      </c>
      <c r="C511" s="3" t="s">
        <v>76</v>
      </c>
      <c r="D511" s="3" t="s">
        <v>24</v>
      </c>
      <c r="E511" s="3" t="s">
        <v>46</v>
      </c>
      <c r="F511" s="3" t="s">
        <v>41</v>
      </c>
      <c r="G511" s="3" t="s">
        <v>13</v>
      </c>
      <c r="H511" s="3">
        <v>7847.0</v>
      </c>
      <c r="I511" s="3" t="s">
        <v>23</v>
      </c>
      <c r="J511" s="3">
        <v>0.2</v>
      </c>
      <c r="K511" s="3">
        <v>9000.0</v>
      </c>
      <c r="L511" s="15" t="s">
        <v>312</v>
      </c>
      <c r="M511" s="3" t="str">
        <f t="shared" si="1"/>
        <v>Below Target</v>
      </c>
      <c r="N511" s="10">
        <f t="shared" si="2"/>
        <v>0.5203252033</v>
      </c>
      <c r="O511" s="11">
        <f t="shared" si="3"/>
        <v>0.2</v>
      </c>
      <c r="P511" s="12">
        <f t="shared" si="4"/>
        <v>6277.6</v>
      </c>
    </row>
    <row r="512" ht="12.75" customHeight="1">
      <c r="A512" s="3" t="s">
        <v>834</v>
      </c>
      <c r="B512" s="3" t="s">
        <v>280</v>
      </c>
      <c r="C512" s="3" t="s">
        <v>76</v>
      </c>
      <c r="D512" s="3" t="s">
        <v>24</v>
      </c>
      <c r="E512" s="3" t="s">
        <v>46</v>
      </c>
      <c r="F512" s="3" t="s">
        <v>21</v>
      </c>
      <c r="G512" s="3" t="s">
        <v>11</v>
      </c>
      <c r="H512" s="3">
        <v>8928.0</v>
      </c>
      <c r="K512" s="3">
        <v>9000.0</v>
      </c>
      <c r="L512" s="3" t="s">
        <v>338</v>
      </c>
      <c r="M512" s="3" t="str">
        <f t="shared" si="1"/>
        <v>Below Target</v>
      </c>
      <c r="N512" s="10">
        <f t="shared" si="2"/>
        <v>0.5213849287</v>
      </c>
      <c r="O512" s="11">
        <f t="shared" si="3"/>
        <v>0</v>
      </c>
      <c r="P512" s="12">
        <f t="shared" si="4"/>
        <v>8928</v>
      </c>
    </row>
    <row r="513" ht="12.75" customHeight="1">
      <c r="A513" s="3" t="s">
        <v>835</v>
      </c>
      <c r="B513" s="3" t="s">
        <v>370</v>
      </c>
      <c r="C513" s="3" t="s">
        <v>18</v>
      </c>
      <c r="D513" s="3" t="s">
        <v>16</v>
      </c>
      <c r="E513" s="3" t="s">
        <v>20</v>
      </c>
      <c r="F513" s="3" t="s">
        <v>52</v>
      </c>
      <c r="G513" s="3" t="s">
        <v>11</v>
      </c>
      <c r="H513" s="3">
        <v>12757.0</v>
      </c>
      <c r="I513" s="3" t="s">
        <v>47</v>
      </c>
      <c r="J513" s="3">
        <v>0.3</v>
      </c>
      <c r="K513" s="3">
        <v>14000.0</v>
      </c>
      <c r="L513" s="3" t="s">
        <v>337</v>
      </c>
      <c r="M513" s="3" t="str">
        <f t="shared" si="1"/>
        <v>Below Target</v>
      </c>
      <c r="N513" s="10">
        <f t="shared" si="2"/>
        <v>0.5224489796</v>
      </c>
      <c r="O513" s="11">
        <f t="shared" si="3"/>
        <v>0.3</v>
      </c>
      <c r="P513" s="12">
        <f t="shared" si="4"/>
        <v>8929.9</v>
      </c>
    </row>
    <row r="514" ht="12.75" customHeight="1">
      <c r="A514" s="3" t="s">
        <v>836</v>
      </c>
      <c r="B514" s="3" t="s">
        <v>574</v>
      </c>
      <c r="C514" s="3" t="s">
        <v>57</v>
      </c>
      <c r="D514" s="3" t="s">
        <v>19</v>
      </c>
      <c r="E514" s="3" t="s">
        <v>58</v>
      </c>
      <c r="F514" s="3" t="s">
        <v>41</v>
      </c>
      <c r="G514" s="3" t="s">
        <v>11</v>
      </c>
      <c r="H514" s="3">
        <v>12801.0</v>
      </c>
      <c r="K514" s="3">
        <v>13000.0</v>
      </c>
      <c r="L514" s="3" t="s">
        <v>320</v>
      </c>
      <c r="M514" s="3" t="str">
        <f t="shared" si="1"/>
        <v>Below Target</v>
      </c>
      <c r="N514" s="10">
        <f t="shared" si="2"/>
        <v>0.5235173824</v>
      </c>
      <c r="O514" s="11">
        <f t="shared" si="3"/>
        <v>0</v>
      </c>
      <c r="P514" s="12">
        <f t="shared" si="4"/>
        <v>12801</v>
      </c>
    </row>
    <row r="515" ht="12.75" customHeight="1">
      <c r="A515" s="3" t="s">
        <v>837</v>
      </c>
      <c r="B515" s="3" t="s">
        <v>218</v>
      </c>
      <c r="C515" s="3" t="s">
        <v>45</v>
      </c>
      <c r="D515" s="3" t="s">
        <v>22</v>
      </c>
      <c r="E515" s="3" t="s">
        <v>20</v>
      </c>
      <c r="F515" s="3" t="s">
        <v>41</v>
      </c>
      <c r="G515" s="3" t="s">
        <v>13</v>
      </c>
      <c r="H515" s="3">
        <v>18081.0</v>
      </c>
      <c r="I515" s="3" t="s">
        <v>37</v>
      </c>
      <c r="J515" s="3">
        <v>0.1</v>
      </c>
      <c r="K515" s="3">
        <v>17000.0</v>
      </c>
      <c r="L515" s="15" t="s">
        <v>123</v>
      </c>
      <c r="M515" s="3" t="str">
        <f t="shared" si="1"/>
        <v>Target Achieved</v>
      </c>
      <c r="N515" s="10">
        <f t="shared" si="2"/>
        <v>0.5245901639</v>
      </c>
      <c r="O515" s="11">
        <f t="shared" si="3"/>
        <v>0.1</v>
      </c>
      <c r="P515" s="12">
        <f t="shared" si="4"/>
        <v>16272.9</v>
      </c>
    </row>
    <row r="516" ht="12.75" customHeight="1">
      <c r="A516" s="3" t="s">
        <v>838</v>
      </c>
      <c r="B516" s="3" t="s">
        <v>413</v>
      </c>
      <c r="C516" s="3" t="s">
        <v>76</v>
      </c>
      <c r="D516" s="3" t="s">
        <v>24</v>
      </c>
      <c r="E516" s="3" t="s">
        <v>20</v>
      </c>
      <c r="F516" s="3" t="s">
        <v>41</v>
      </c>
      <c r="G516" s="3" t="s">
        <v>12</v>
      </c>
      <c r="H516" s="3">
        <v>7249.0</v>
      </c>
      <c r="K516" s="3">
        <v>9000.0</v>
      </c>
      <c r="L516" s="3" t="s">
        <v>333</v>
      </c>
      <c r="M516" s="3" t="str">
        <f t="shared" si="1"/>
        <v>Below Target</v>
      </c>
      <c r="N516" s="10">
        <f t="shared" si="2"/>
        <v>0.523613963</v>
      </c>
      <c r="O516" s="11">
        <f t="shared" si="3"/>
        <v>0</v>
      </c>
      <c r="P516" s="12">
        <f t="shared" si="4"/>
        <v>7249</v>
      </c>
    </row>
    <row r="517" ht="12.75" customHeight="1">
      <c r="A517" s="3" t="s">
        <v>839</v>
      </c>
      <c r="B517" s="3" t="s">
        <v>488</v>
      </c>
      <c r="C517" s="3" t="s">
        <v>76</v>
      </c>
      <c r="D517" s="3" t="s">
        <v>24</v>
      </c>
      <c r="E517" s="3" t="s">
        <v>20</v>
      </c>
      <c r="F517" s="3" t="s">
        <v>41</v>
      </c>
      <c r="G517" s="3" t="s">
        <v>11</v>
      </c>
      <c r="H517" s="3">
        <v>8224.0</v>
      </c>
      <c r="I517" s="3" t="s">
        <v>37</v>
      </c>
      <c r="J517" s="3">
        <v>0.1</v>
      </c>
      <c r="K517" s="3">
        <v>9000.0</v>
      </c>
      <c r="L517" s="3" t="s">
        <v>314</v>
      </c>
      <c r="M517" s="3" t="str">
        <f t="shared" si="1"/>
        <v>Below Target</v>
      </c>
      <c r="N517" s="10">
        <f t="shared" si="2"/>
        <v>0.524691358</v>
      </c>
      <c r="O517" s="11">
        <f t="shared" si="3"/>
        <v>0.1</v>
      </c>
      <c r="P517" s="12">
        <f t="shared" si="4"/>
        <v>7401.6</v>
      </c>
    </row>
    <row r="518" ht="12.75" customHeight="1">
      <c r="A518" s="3" t="s">
        <v>840</v>
      </c>
      <c r="B518" s="3" t="s">
        <v>554</v>
      </c>
      <c r="C518" s="3" t="s">
        <v>18</v>
      </c>
      <c r="D518" s="3" t="s">
        <v>16</v>
      </c>
      <c r="E518" s="3" t="s">
        <v>20</v>
      </c>
      <c r="F518" s="3" t="s">
        <v>52</v>
      </c>
      <c r="G518" s="3" t="s">
        <v>12</v>
      </c>
      <c r="H518" s="3">
        <v>15278.0</v>
      </c>
      <c r="I518" s="3" t="s">
        <v>42</v>
      </c>
      <c r="K518" s="3">
        <v>14000.0</v>
      </c>
      <c r="L518" s="3" t="s">
        <v>238</v>
      </c>
      <c r="M518" s="3" t="str">
        <f t="shared" si="1"/>
        <v>Target Achieved</v>
      </c>
      <c r="N518" s="10">
        <f t="shared" si="2"/>
        <v>0.5257731959</v>
      </c>
      <c r="O518" s="11" t="str">
        <f t="shared" si="3"/>
        <v/>
      </c>
      <c r="P518" s="12">
        <f t="shared" si="4"/>
        <v>12986.3</v>
      </c>
    </row>
    <row r="519" ht="12.75" customHeight="1">
      <c r="A519" s="3" t="s">
        <v>841</v>
      </c>
      <c r="B519" s="3" t="s">
        <v>473</v>
      </c>
      <c r="C519" s="3" t="s">
        <v>18</v>
      </c>
      <c r="D519" s="3" t="s">
        <v>16</v>
      </c>
      <c r="E519" s="3" t="s">
        <v>58</v>
      </c>
      <c r="F519" s="3" t="s">
        <v>41</v>
      </c>
      <c r="G519" s="3" t="s">
        <v>13</v>
      </c>
      <c r="H519" s="3">
        <v>15981.0</v>
      </c>
      <c r="I519" s="3" t="s">
        <v>23</v>
      </c>
      <c r="J519" s="3">
        <v>0.2</v>
      </c>
      <c r="K519" s="3">
        <v>14000.0</v>
      </c>
      <c r="L519" s="3" t="s">
        <v>330</v>
      </c>
      <c r="M519" s="3" t="str">
        <f t="shared" si="1"/>
        <v>Target Achieved</v>
      </c>
      <c r="N519" s="10">
        <f t="shared" si="2"/>
        <v>0.5247933884</v>
      </c>
      <c r="O519" s="11">
        <f t="shared" si="3"/>
        <v>0.2</v>
      </c>
      <c r="P519" s="12">
        <f t="shared" si="4"/>
        <v>12784.8</v>
      </c>
    </row>
    <row r="520" ht="12.75" customHeight="1">
      <c r="A520" s="3" t="s">
        <v>842</v>
      </c>
      <c r="B520" s="3" t="s">
        <v>294</v>
      </c>
      <c r="C520" s="3" t="s">
        <v>18</v>
      </c>
      <c r="D520" s="3" t="s">
        <v>16</v>
      </c>
      <c r="E520" s="3" t="s">
        <v>58</v>
      </c>
      <c r="F520" s="3" t="s">
        <v>41</v>
      </c>
      <c r="G520" s="3" t="s">
        <v>12</v>
      </c>
      <c r="H520" s="3">
        <v>13783.0</v>
      </c>
      <c r="I520" s="3" t="s">
        <v>23</v>
      </c>
      <c r="J520" s="3">
        <v>0.2</v>
      </c>
      <c r="K520" s="3">
        <v>14000.0</v>
      </c>
      <c r="L520" s="3" t="s">
        <v>333</v>
      </c>
      <c r="M520" s="3" t="str">
        <f t="shared" si="1"/>
        <v>Below Target</v>
      </c>
      <c r="N520" s="10">
        <f t="shared" si="2"/>
        <v>0.5238095238</v>
      </c>
      <c r="O520" s="11">
        <f t="shared" si="3"/>
        <v>0.2</v>
      </c>
      <c r="P520" s="12">
        <f t="shared" si="4"/>
        <v>11026.4</v>
      </c>
    </row>
    <row r="521" ht="12.75" customHeight="1">
      <c r="A521" s="3" t="s">
        <v>843</v>
      </c>
      <c r="B521" s="3" t="s">
        <v>522</v>
      </c>
      <c r="C521" s="3" t="s">
        <v>45</v>
      </c>
      <c r="D521" s="3" t="s">
        <v>22</v>
      </c>
      <c r="E521" s="3" t="s">
        <v>58</v>
      </c>
      <c r="F521" s="3" t="s">
        <v>52</v>
      </c>
      <c r="G521" s="3" t="s">
        <v>13</v>
      </c>
      <c r="H521" s="3">
        <v>15356.0</v>
      </c>
      <c r="K521" s="3">
        <v>17000.0</v>
      </c>
      <c r="L521" s="15" t="s">
        <v>349</v>
      </c>
      <c r="M521" s="3" t="str">
        <f t="shared" si="1"/>
        <v>Below Target</v>
      </c>
      <c r="N521" s="10">
        <f t="shared" si="2"/>
        <v>0.5248962656</v>
      </c>
      <c r="O521" s="11">
        <f t="shared" si="3"/>
        <v>0</v>
      </c>
      <c r="P521" s="12">
        <f t="shared" si="4"/>
        <v>15356</v>
      </c>
    </row>
    <row r="522" ht="12.75" customHeight="1">
      <c r="A522" s="3" t="s">
        <v>844</v>
      </c>
      <c r="B522" s="3" t="s">
        <v>612</v>
      </c>
      <c r="C522" s="3" t="s">
        <v>45</v>
      </c>
      <c r="D522" s="3" t="s">
        <v>22</v>
      </c>
      <c r="E522" s="3" t="s">
        <v>58</v>
      </c>
      <c r="F522" s="3" t="s">
        <v>52</v>
      </c>
      <c r="G522" s="3" t="s">
        <v>11</v>
      </c>
      <c r="H522" s="3">
        <v>18756.0</v>
      </c>
      <c r="I522" s="3" t="s">
        <v>37</v>
      </c>
      <c r="J522" s="3">
        <v>0.1</v>
      </c>
      <c r="K522" s="3">
        <v>17000.0</v>
      </c>
      <c r="L522" s="3" t="s">
        <v>328</v>
      </c>
      <c r="M522" s="3" t="str">
        <f t="shared" si="1"/>
        <v>Target Achieved</v>
      </c>
      <c r="N522" s="10">
        <f t="shared" si="2"/>
        <v>0.525987526</v>
      </c>
      <c r="O522" s="11">
        <f t="shared" si="3"/>
        <v>0.1</v>
      </c>
      <c r="P522" s="12">
        <f t="shared" si="4"/>
        <v>16880.4</v>
      </c>
    </row>
    <row r="523" ht="12.75" customHeight="1">
      <c r="A523" s="3" t="s">
        <v>845</v>
      </c>
      <c r="B523" s="3" t="s">
        <v>772</v>
      </c>
      <c r="C523" s="3" t="s">
        <v>76</v>
      </c>
      <c r="D523" s="3" t="s">
        <v>24</v>
      </c>
      <c r="E523" s="3" t="s">
        <v>46</v>
      </c>
      <c r="F523" s="3" t="s">
        <v>21</v>
      </c>
      <c r="G523" s="3" t="s">
        <v>13</v>
      </c>
      <c r="H523" s="3">
        <v>7607.0</v>
      </c>
      <c r="I523" s="3" t="s">
        <v>42</v>
      </c>
      <c r="K523" s="3">
        <v>9000.0</v>
      </c>
      <c r="L523" s="15" t="s">
        <v>275</v>
      </c>
      <c r="M523" s="3" t="str">
        <f t="shared" si="1"/>
        <v>Below Target</v>
      </c>
      <c r="N523" s="10">
        <f t="shared" si="2"/>
        <v>0.525</v>
      </c>
      <c r="O523" s="11" t="str">
        <f t="shared" si="3"/>
        <v/>
      </c>
      <c r="P523" s="12">
        <f t="shared" si="4"/>
        <v>6465.95</v>
      </c>
    </row>
    <row r="524" ht="12.75" customHeight="1">
      <c r="A524" s="3" t="s">
        <v>846</v>
      </c>
      <c r="B524" s="3" t="s">
        <v>679</v>
      </c>
      <c r="C524" s="3" t="s">
        <v>18</v>
      </c>
      <c r="D524" s="3" t="s">
        <v>16</v>
      </c>
      <c r="E524" s="3" t="s">
        <v>46</v>
      </c>
      <c r="F524" s="3" t="s">
        <v>52</v>
      </c>
      <c r="G524" s="3" t="s">
        <v>13</v>
      </c>
      <c r="H524" s="3">
        <v>15218.0</v>
      </c>
      <c r="I524" s="3" t="s">
        <v>47</v>
      </c>
      <c r="J524" s="3">
        <v>0.3</v>
      </c>
      <c r="K524" s="3">
        <v>14000.0</v>
      </c>
      <c r="L524" s="3" t="s">
        <v>139</v>
      </c>
      <c r="M524" s="3" t="str">
        <f t="shared" si="1"/>
        <v>Target Achieved</v>
      </c>
      <c r="N524" s="10">
        <f t="shared" si="2"/>
        <v>0.5260960334</v>
      </c>
      <c r="O524" s="11">
        <f t="shared" si="3"/>
        <v>0.3</v>
      </c>
      <c r="P524" s="12">
        <f t="shared" si="4"/>
        <v>10652.6</v>
      </c>
    </row>
    <row r="525" ht="12.75" customHeight="1">
      <c r="A525" s="3" t="s">
        <v>847</v>
      </c>
      <c r="B525" s="3" t="s">
        <v>274</v>
      </c>
      <c r="C525" s="3" t="s">
        <v>76</v>
      </c>
      <c r="D525" s="3" t="s">
        <v>24</v>
      </c>
      <c r="E525" s="3" t="s">
        <v>58</v>
      </c>
      <c r="F525" s="3" t="s">
        <v>21</v>
      </c>
      <c r="G525" s="3" t="s">
        <v>12</v>
      </c>
      <c r="H525" s="3">
        <v>8988.0</v>
      </c>
      <c r="I525" s="3" t="s">
        <v>42</v>
      </c>
      <c r="K525" s="3">
        <v>9000.0</v>
      </c>
      <c r="L525" s="15" t="s">
        <v>130</v>
      </c>
      <c r="M525" s="3" t="str">
        <f t="shared" si="1"/>
        <v>Below Target</v>
      </c>
      <c r="N525" s="10">
        <f t="shared" si="2"/>
        <v>0.5251046025</v>
      </c>
      <c r="O525" s="11" t="str">
        <f t="shared" si="3"/>
        <v/>
      </c>
      <c r="P525" s="12">
        <f t="shared" si="4"/>
        <v>7639.8</v>
      </c>
    </row>
    <row r="526" ht="12.75" customHeight="1">
      <c r="A526" s="3" t="s">
        <v>848</v>
      </c>
      <c r="B526" s="3" t="s">
        <v>811</v>
      </c>
      <c r="C526" s="3" t="s">
        <v>57</v>
      </c>
      <c r="D526" s="3" t="s">
        <v>19</v>
      </c>
      <c r="E526" s="3" t="s">
        <v>58</v>
      </c>
      <c r="F526" s="3" t="s">
        <v>21</v>
      </c>
      <c r="G526" s="3" t="s">
        <v>13</v>
      </c>
      <c r="H526" s="3">
        <v>13532.0</v>
      </c>
      <c r="I526" s="3" t="s">
        <v>42</v>
      </c>
      <c r="K526" s="3">
        <v>13000.0</v>
      </c>
      <c r="L526" s="3" t="s">
        <v>238</v>
      </c>
      <c r="M526" s="3" t="str">
        <f t="shared" si="1"/>
        <v>Target Achieved</v>
      </c>
      <c r="N526" s="10">
        <f t="shared" si="2"/>
        <v>0.5262054507</v>
      </c>
      <c r="O526" s="11" t="str">
        <f t="shared" si="3"/>
        <v/>
      </c>
      <c r="P526" s="12">
        <f t="shared" si="4"/>
        <v>11502.2</v>
      </c>
    </row>
    <row r="527" ht="12.75" customHeight="1">
      <c r="A527" s="3" t="s">
        <v>849</v>
      </c>
      <c r="B527" s="3" t="s">
        <v>166</v>
      </c>
      <c r="C527" s="3" t="s">
        <v>18</v>
      </c>
      <c r="D527" s="3" t="s">
        <v>16</v>
      </c>
      <c r="E527" s="3" t="s">
        <v>58</v>
      </c>
      <c r="F527" s="3" t="s">
        <v>21</v>
      </c>
      <c r="G527" s="3" t="s">
        <v>12</v>
      </c>
      <c r="H527" s="3">
        <v>12973.0</v>
      </c>
      <c r="I527" s="3" t="s">
        <v>37</v>
      </c>
      <c r="J527" s="3">
        <v>0.1</v>
      </c>
      <c r="K527" s="3">
        <v>14000.0</v>
      </c>
      <c r="L527" s="3" t="s">
        <v>38</v>
      </c>
      <c r="M527" s="3" t="str">
        <f t="shared" si="1"/>
        <v>Below Target</v>
      </c>
      <c r="N527" s="10">
        <f t="shared" si="2"/>
        <v>0.525210084</v>
      </c>
      <c r="O527" s="11">
        <f t="shared" si="3"/>
        <v>0.1</v>
      </c>
      <c r="P527" s="12">
        <f t="shared" si="4"/>
        <v>11675.7</v>
      </c>
    </row>
    <row r="528" ht="12.75" customHeight="1">
      <c r="A528" s="3" t="s">
        <v>850</v>
      </c>
      <c r="B528" s="3" t="s">
        <v>160</v>
      </c>
      <c r="C528" s="3" t="s">
        <v>45</v>
      </c>
      <c r="D528" s="3" t="s">
        <v>22</v>
      </c>
      <c r="E528" s="3" t="s">
        <v>46</v>
      </c>
      <c r="F528" s="3" t="s">
        <v>21</v>
      </c>
      <c r="G528" s="3" t="s">
        <v>11</v>
      </c>
      <c r="H528" s="3">
        <v>16273.0</v>
      </c>
      <c r="I528" s="3" t="s">
        <v>47</v>
      </c>
      <c r="J528" s="3">
        <v>0.3</v>
      </c>
      <c r="K528" s="3">
        <v>17000.0</v>
      </c>
      <c r="L528" s="3" t="s">
        <v>106</v>
      </c>
      <c r="M528" s="3" t="str">
        <f t="shared" si="1"/>
        <v>Below Target</v>
      </c>
      <c r="N528" s="10">
        <f t="shared" si="2"/>
        <v>0.5263157895</v>
      </c>
      <c r="O528" s="11">
        <f t="shared" si="3"/>
        <v>0.3</v>
      </c>
      <c r="P528" s="12">
        <f t="shared" si="4"/>
        <v>11391.1</v>
      </c>
    </row>
    <row r="529" ht="12.75" customHeight="1">
      <c r="A529" s="3" t="s">
        <v>851</v>
      </c>
      <c r="B529" s="3" t="s">
        <v>852</v>
      </c>
      <c r="C529" s="3" t="s">
        <v>18</v>
      </c>
      <c r="D529" s="3" t="s">
        <v>16</v>
      </c>
      <c r="E529" s="3" t="s">
        <v>46</v>
      </c>
      <c r="F529" s="3" t="s">
        <v>41</v>
      </c>
      <c r="G529" s="3" t="s">
        <v>11</v>
      </c>
      <c r="H529" s="3">
        <v>15990.0</v>
      </c>
      <c r="K529" s="3">
        <v>14000.0</v>
      </c>
      <c r="L529" s="3" t="s">
        <v>324</v>
      </c>
      <c r="M529" s="3" t="str">
        <f t="shared" si="1"/>
        <v>Target Achieved</v>
      </c>
      <c r="N529" s="10">
        <f t="shared" si="2"/>
        <v>0.5274261603</v>
      </c>
      <c r="O529" s="11">
        <f t="shared" si="3"/>
        <v>0</v>
      </c>
      <c r="P529" s="12">
        <f t="shared" si="4"/>
        <v>15990</v>
      </c>
    </row>
    <row r="530" ht="12.75" customHeight="1">
      <c r="A530" s="3" t="s">
        <v>853</v>
      </c>
      <c r="B530" s="3" t="s">
        <v>398</v>
      </c>
      <c r="C530" s="3" t="s">
        <v>45</v>
      </c>
      <c r="D530" s="3" t="s">
        <v>22</v>
      </c>
      <c r="E530" s="3" t="s">
        <v>20</v>
      </c>
      <c r="F530" s="3" t="s">
        <v>21</v>
      </c>
      <c r="G530" s="3" t="s">
        <v>12</v>
      </c>
      <c r="H530" s="3">
        <v>17644.0</v>
      </c>
      <c r="I530" s="3" t="s">
        <v>37</v>
      </c>
      <c r="J530" s="3">
        <v>0.1</v>
      </c>
      <c r="K530" s="3">
        <v>17000.0</v>
      </c>
      <c r="L530" s="3" t="s">
        <v>164</v>
      </c>
      <c r="M530" s="3" t="str">
        <f t="shared" si="1"/>
        <v>Target Achieved</v>
      </c>
      <c r="N530" s="10">
        <f t="shared" si="2"/>
        <v>0.5264270613</v>
      </c>
      <c r="O530" s="11">
        <f t="shared" si="3"/>
        <v>0.1</v>
      </c>
      <c r="P530" s="12">
        <f t="shared" si="4"/>
        <v>15879.6</v>
      </c>
    </row>
    <row r="531" ht="12.75" customHeight="1">
      <c r="A531" s="3" t="s">
        <v>854</v>
      </c>
      <c r="B531" s="3" t="s">
        <v>266</v>
      </c>
      <c r="C531" s="3" t="s">
        <v>76</v>
      </c>
      <c r="D531" s="3" t="s">
        <v>24</v>
      </c>
      <c r="E531" s="3" t="s">
        <v>20</v>
      </c>
      <c r="F531" s="3" t="s">
        <v>21</v>
      </c>
      <c r="G531" s="3" t="s">
        <v>12</v>
      </c>
      <c r="H531" s="3">
        <v>10552.0</v>
      </c>
      <c r="I531" s="3" t="s">
        <v>47</v>
      </c>
      <c r="J531" s="3">
        <v>0.3</v>
      </c>
      <c r="K531" s="3">
        <v>9000.0</v>
      </c>
      <c r="L531" s="3" t="s">
        <v>333</v>
      </c>
      <c r="M531" s="3" t="str">
        <f t="shared" si="1"/>
        <v>Target Achieved</v>
      </c>
      <c r="N531" s="10">
        <f t="shared" si="2"/>
        <v>0.5254237288</v>
      </c>
      <c r="O531" s="11">
        <f t="shared" si="3"/>
        <v>0.3</v>
      </c>
      <c r="P531" s="12">
        <f t="shared" si="4"/>
        <v>7386.4</v>
      </c>
    </row>
    <row r="532" ht="12.75" customHeight="1">
      <c r="A532" s="3" t="s">
        <v>855</v>
      </c>
      <c r="B532" s="3" t="s">
        <v>213</v>
      </c>
      <c r="C532" s="3" t="s">
        <v>57</v>
      </c>
      <c r="D532" s="3" t="s">
        <v>19</v>
      </c>
      <c r="E532" s="3" t="s">
        <v>46</v>
      </c>
      <c r="F532" s="3" t="s">
        <v>21</v>
      </c>
      <c r="G532" s="3" t="s">
        <v>12</v>
      </c>
      <c r="H532" s="3">
        <v>13075.0</v>
      </c>
      <c r="K532" s="3">
        <v>13000.0</v>
      </c>
      <c r="L532" s="15" t="s">
        <v>353</v>
      </c>
      <c r="M532" s="3" t="str">
        <f t="shared" si="1"/>
        <v>Target Achieved</v>
      </c>
      <c r="N532" s="10">
        <f t="shared" si="2"/>
        <v>0.5244161359</v>
      </c>
      <c r="O532" s="11">
        <f t="shared" si="3"/>
        <v>0</v>
      </c>
      <c r="P532" s="12">
        <f t="shared" si="4"/>
        <v>13075</v>
      </c>
    </row>
    <row r="533" ht="12.75" customHeight="1">
      <c r="A533" s="3" t="s">
        <v>856</v>
      </c>
      <c r="B533" s="3" t="s">
        <v>180</v>
      </c>
      <c r="C533" s="3" t="s">
        <v>18</v>
      </c>
      <c r="D533" s="3" t="s">
        <v>16</v>
      </c>
      <c r="E533" s="3" t="s">
        <v>46</v>
      </c>
      <c r="F533" s="3" t="s">
        <v>41</v>
      </c>
      <c r="G533" s="3" t="s">
        <v>13</v>
      </c>
      <c r="H533" s="3">
        <v>15428.0</v>
      </c>
      <c r="I533" s="3" t="s">
        <v>37</v>
      </c>
      <c r="J533" s="3">
        <v>0.1</v>
      </c>
      <c r="K533" s="3">
        <v>14000.0</v>
      </c>
      <c r="L533" s="3" t="s">
        <v>245</v>
      </c>
      <c r="M533" s="3" t="str">
        <f t="shared" si="1"/>
        <v>Target Achieved</v>
      </c>
      <c r="N533" s="10">
        <f t="shared" si="2"/>
        <v>0.5234042553</v>
      </c>
      <c r="O533" s="11">
        <f t="shared" si="3"/>
        <v>0.1</v>
      </c>
      <c r="P533" s="12">
        <f t="shared" si="4"/>
        <v>13885.2</v>
      </c>
    </row>
    <row r="534" ht="12.75" customHeight="1">
      <c r="A534" s="3" t="s">
        <v>857</v>
      </c>
      <c r="B534" s="3" t="s">
        <v>589</v>
      </c>
      <c r="C534" s="3" t="s">
        <v>18</v>
      </c>
      <c r="D534" s="3" t="s">
        <v>16</v>
      </c>
      <c r="E534" s="3" t="s">
        <v>58</v>
      </c>
      <c r="F534" s="3" t="s">
        <v>52</v>
      </c>
      <c r="G534" s="3" t="s">
        <v>13</v>
      </c>
      <c r="H534" s="3">
        <v>13122.0</v>
      </c>
      <c r="I534" s="3" t="s">
        <v>47</v>
      </c>
      <c r="J534" s="3">
        <v>0.3</v>
      </c>
      <c r="K534" s="3">
        <v>14000.0</v>
      </c>
      <c r="L534" s="3" t="s">
        <v>333</v>
      </c>
      <c r="M534" s="3" t="str">
        <f t="shared" si="1"/>
        <v>Below Target</v>
      </c>
      <c r="N534" s="10">
        <f t="shared" si="2"/>
        <v>0.5223880597</v>
      </c>
      <c r="O534" s="11">
        <f t="shared" si="3"/>
        <v>0.3</v>
      </c>
      <c r="P534" s="12">
        <f t="shared" si="4"/>
        <v>9185.4</v>
      </c>
    </row>
    <row r="535" ht="12.75" customHeight="1">
      <c r="A535" s="3" t="s">
        <v>858</v>
      </c>
      <c r="B535" s="3" t="s">
        <v>427</v>
      </c>
      <c r="C535" s="3" t="s">
        <v>76</v>
      </c>
      <c r="D535" s="3" t="s">
        <v>24</v>
      </c>
      <c r="E535" s="3" t="s">
        <v>20</v>
      </c>
      <c r="F535" s="3" t="s">
        <v>41</v>
      </c>
      <c r="G535" s="3" t="s">
        <v>12</v>
      </c>
      <c r="H535" s="3">
        <v>7125.0</v>
      </c>
      <c r="I535" s="3" t="s">
        <v>23</v>
      </c>
      <c r="J535" s="3">
        <v>0.2</v>
      </c>
      <c r="K535" s="3">
        <v>9000.0</v>
      </c>
      <c r="L535" s="3" t="s">
        <v>336</v>
      </c>
      <c r="M535" s="3" t="str">
        <f t="shared" si="1"/>
        <v>Below Target</v>
      </c>
      <c r="N535" s="10">
        <f t="shared" si="2"/>
        <v>0.5235042735</v>
      </c>
      <c r="O535" s="11">
        <f t="shared" si="3"/>
        <v>0.2</v>
      </c>
      <c r="P535" s="12">
        <f t="shared" si="4"/>
        <v>5700</v>
      </c>
    </row>
    <row r="536" ht="12.75" customHeight="1">
      <c r="A536" s="3" t="s">
        <v>859</v>
      </c>
      <c r="B536" s="3" t="s">
        <v>700</v>
      </c>
      <c r="C536" s="3" t="s">
        <v>76</v>
      </c>
      <c r="D536" s="3" t="s">
        <v>24</v>
      </c>
      <c r="E536" s="3" t="s">
        <v>46</v>
      </c>
      <c r="F536" s="3" t="s">
        <v>21</v>
      </c>
      <c r="G536" s="3" t="s">
        <v>12</v>
      </c>
      <c r="H536" s="3">
        <v>9258.0</v>
      </c>
      <c r="I536" s="3" t="s">
        <v>47</v>
      </c>
      <c r="J536" s="3">
        <v>0.3</v>
      </c>
      <c r="K536" s="3">
        <v>9000.0</v>
      </c>
      <c r="L536" s="3" t="s">
        <v>334</v>
      </c>
      <c r="M536" s="3" t="str">
        <f t="shared" si="1"/>
        <v>Target Achieved</v>
      </c>
      <c r="N536" s="10">
        <f t="shared" si="2"/>
        <v>0.5246252677</v>
      </c>
      <c r="O536" s="11">
        <f t="shared" si="3"/>
        <v>0.3</v>
      </c>
      <c r="P536" s="12">
        <f t="shared" si="4"/>
        <v>6480.6</v>
      </c>
    </row>
    <row r="537" ht="12.75" customHeight="1">
      <c r="A537" s="3" t="s">
        <v>860</v>
      </c>
      <c r="B537" s="3" t="s">
        <v>719</v>
      </c>
      <c r="C537" s="3" t="s">
        <v>45</v>
      </c>
      <c r="D537" s="3" t="s">
        <v>22</v>
      </c>
      <c r="E537" s="3" t="s">
        <v>20</v>
      </c>
      <c r="F537" s="3" t="s">
        <v>52</v>
      </c>
      <c r="G537" s="3" t="s">
        <v>13</v>
      </c>
      <c r="H537" s="3">
        <v>16167.0</v>
      </c>
      <c r="I537" s="3" t="s">
        <v>37</v>
      </c>
      <c r="J537" s="3">
        <v>0.1</v>
      </c>
      <c r="K537" s="3">
        <v>17000.0</v>
      </c>
      <c r="L537" s="3" t="s">
        <v>88</v>
      </c>
      <c r="M537" s="3" t="str">
        <f t="shared" si="1"/>
        <v>Below Target</v>
      </c>
      <c r="N537" s="10">
        <f t="shared" si="2"/>
        <v>0.5236051502</v>
      </c>
      <c r="O537" s="11">
        <f t="shared" si="3"/>
        <v>0.1</v>
      </c>
      <c r="P537" s="12">
        <f t="shared" si="4"/>
        <v>14550.3</v>
      </c>
    </row>
    <row r="538" ht="12.75" customHeight="1">
      <c r="A538" s="3" t="s">
        <v>861</v>
      </c>
      <c r="B538" s="3" t="s">
        <v>302</v>
      </c>
      <c r="C538" s="3" t="s">
        <v>57</v>
      </c>
      <c r="D538" s="3" t="s">
        <v>19</v>
      </c>
      <c r="E538" s="3" t="s">
        <v>46</v>
      </c>
      <c r="F538" s="3" t="s">
        <v>52</v>
      </c>
      <c r="G538" s="3" t="s">
        <v>13</v>
      </c>
      <c r="H538" s="3">
        <v>13775.0</v>
      </c>
      <c r="I538" s="3" t="s">
        <v>23</v>
      </c>
      <c r="J538" s="3">
        <v>0.2</v>
      </c>
      <c r="K538" s="3">
        <v>13000.0</v>
      </c>
      <c r="L538" s="3" t="s">
        <v>73</v>
      </c>
      <c r="M538" s="3" t="str">
        <f t="shared" si="1"/>
        <v>Target Achieved</v>
      </c>
      <c r="N538" s="10">
        <f t="shared" si="2"/>
        <v>0.5247311828</v>
      </c>
      <c r="O538" s="11">
        <f t="shared" si="3"/>
        <v>0.2</v>
      </c>
      <c r="P538" s="12">
        <f t="shared" si="4"/>
        <v>11020</v>
      </c>
    </row>
    <row r="539" ht="12.75" customHeight="1">
      <c r="A539" s="3" t="s">
        <v>862</v>
      </c>
      <c r="B539" s="3" t="s">
        <v>119</v>
      </c>
      <c r="C539" s="3" t="s">
        <v>18</v>
      </c>
      <c r="D539" s="3" t="s">
        <v>16</v>
      </c>
      <c r="E539" s="3" t="s">
        <v>20</v>
      </c>
      <c r="F539" s="3" t="s">
        <v>41</v>
      </c>
      <c r="G539" s="3" t="s">
        <v>11</v>
      </c>
      <c r="H539" s="3">
        <v>15733.0</v>
      </c>
      <c r="I539" s="3" t="s">
        <v>23</v>
      </c>
      <c r="J539" s="3">
        <v>0.2</v>
      </c>
      <c r="K539" s="3">
        <v>14000.0</v>
      </c>
      <c r="L539" s="15" t="s">
        <v>313</v>
      </c>
      <c r="M539" s="3" t="str">
        <f t="shared" si="1"/>
        <v>Target Achieved</v>
      </c>
      <c r="N539" s="10">
        <f t="shared" si="2"/>
        <v>0.5237068966</v>
      </c>
      <c r="O539" s="11">
        <f t="shared" si="3"/>
        <v>0.2</v>
      </c>
      <c r="P539" s="12">
        <f t="shared" si="4"/>
        <v>12586.4</v>
      </c>
    </row>
    <row r="540" ht="12.75" customHeight="1">
      <c r="A540" s="3" t="s">
        <v>863</v>
      </c>
      <c r="B540" s="3" t="s">
        <v>820</v>
      </c>
      <c r="C540" s="3" t="s">
        <v>18</v>
      </c>
      <c r="D540" s="3" t="s">
        <v>16</v>
      </c>
      <c r="E540" s="3" t="s">
        <v>46</v>
      </c>
      <c r="F540" s="3" t="s">
        <v>21</v>
      </c>
      <c r="G540" s="3" t="s">
        <v>12</v>
      </c>
      <c r="H540" s="3">
        <v>15297.0</v>
      </c>
      <c r="I540" s="3" t="s">
        <v>47</v>
      </c>
      <c r="J540" s="3">
        <v>0.3</v>
      </c>
      <c r="K540" s="3">
        <v>14000.0</v>
      </c>
      <c r="L540" s="3" t="s">
        <v>83</v>
      </c>
      <c r="M540" s="3" t="str">
        <f t="shared" si="1"/>
        <v>Target Achieved</v>
      </c>
      <c r="N540" s="10">
        <f t="shared" si="2"/>
        <v>0.5226781857</v>
      </c>
      <c r="O540" s="11">
        <f t="shared" si="3"/>
        <v>0.3</v>
      </c>
      <c r="P540" s="12">
        <f t="shared" si="4"/>
        <v>10707.9</v>
      </c>
    </row>
    <row r="541" ht="12.75" customHeight="1">
      <c r="A541" s="3" t="s">
        <v>864</v>
      </c>
      <c r="B541" s="3" t="s">
        <v>865</v>
      </c>
      <c r="C541" s="3" t="s">
        <v>45</v>
      </c>
      <c r="D541" s="3" t="s">
        <v>22</v>
      </c>
      <c r="E541" s="3" t="s">
        <v>58</v>
      </c>
      <c r="F541" s="3" t="s">
        <v>21</v>
      </c>
      <c r="G541" s="3" t="s">
        <v>11</v>
      </c>
      <c r="H541" s="3">
        <v>16880.0</v>
      </c>
      <c r="I541" s="3" t="s">
        <v>47</v>
      </c>
      <c r="J541" s="3">
        <v>0.3</v>
      </c>
      <c r="K541" s="3">
        <v>17000.0</v>
      </c>
      <c r="L541" s="3" t="s">
        <v>65</v>
      </c>
      <c r="M541" s="3" t="str">
        <f t="shared" si="1"/>
        <v>Below Target</v>
      </c>
      <c r="N541" s="10">
        <f t="shared" si="2"/>
        <v>0.5216450216</v>
      </c>
      <c r="O541" s="11">
        <f t="shared" si="3"/>
        <v>0.3</v>
      </c>
      <c r="P541" s="12">
        <f t="shared" si="4"/>
        <v>11816</v>
      </c>
    </row>
    <row r="542" ht="12.75" customHeight="1">
      <c r="A542" s="3" t="s">
        <v>866</v>
      </c>
      <c r="B542" s="3" t="s">
        <v>160</v>
      </c>
      <c r="C542" s="3" t="s">
        <v>76</v>
      </c>
      <c r="D542" s="3" t="s">
        <v>24</v>
      </c>
      <c r="E542" s="3" t="s">
        <v>20</v>
      </c>
      <c r="F542" s="3" t="s">
        <v>41</v>
      </c>
      <c r="G542" s="3" t="s">
        <v>13</v>
      </c>
      <c r="H542" s="3">
        <v>9095.0</v>
      </c>
      <c r="I542" s="3" t="s">
        <v>47</v>
      </c>
      <c r="J542" s="3">
        <v>0.3</v>
      </c>
      <c r="K542" s="3">
        <v>9000.0</v>
      </c>
      <c r="L542" s="15" t="s">
        <v>349</v>
      </c>
      <c r="M542" s="3" t="str">
        <f t="shared" si="1"/>
        <v>Target Achieved</v>
      </c>
      <c r="N542" s="10">
        <f t="shared" si="2"/>
        <v>0.5227765727</v>
      </c>
      <c r="O542" s="11">
        <f t="shared" si="3"/>
        <v>0.3</v>
      </c>
      <c r="P542" s="12">
        <f t="shared" si="4"/>
        <v>6366.5</v>
      </c>
    </row>
    <row r="543" ht="12.75" customHeight="1">
      <c r="A543" s="3" t="s">
        <v>867</v>
      </c>
      <c r="B543" s="3" t="s">
        <v>207</v>
      </c>
      <c r="C543" s="3" t="s">
        <v>45</v>
      </c>
      <c r="D543" s="3" t="s">
        <v>22</v>
      </c>
      <c r="E543" s="3" t="s">
        <v>58</v>
      </c>
      <c r="F543" s="3" t="s">
        <v>52</v>
      </c>
      <c r="G543" s="3" t="s">
        <v>13</v>
      </c>
      <c r="H543" s="3">
        <v>16973.0</v>
      </c>
      <c r="I543" s="3" t="s">
        <v>37</v>
      </c>
      <c r="J543" s="3">
        <v>0.1</v>
      </c>
      <c r="K543" s="3">
        <v>17000.0</v>
      </c>
      <c r="L543" s="3" t="s">
        <v>332</v>
      </c>
      <c r="M543" s="3" t="str">
        <f t="shared" si="1"/>
        <v>Below Target</v>
      </c>
      <c r="N543" s="10">
        <f t="shared" si="2"/>
        <v>0.5217391304</v>
      </c>
      <c r="O543" s="11">
        <f t="shared" si="3"/>
        <v>0.1</v>
      </c>
      <c r="P543" s="12">
        <f t="shared" si="4"/>
        <v>15275.7</v>
      </c>
    </row>
    <row r="544" ht="12.75" customHeight="1">
      <c r="A544" s="3" t="s">
        <v>868</v>
      </c>
      <c r="B544" s="3" t="s">
        <v>379</v>
      </c>
      <c r="C544" s="3" t="s">
        <v>45</v>
      </c>
      <c r="D544" s="3" t="s">
        <v>22</v>
      </c>
      <c r="E544" s="3" t="s">
        <v>58</v>
      </c>
      <c r="F544" s="3" t="s">
        <v>21</v>
      </c>
      <c r="G544" s="3" t="s">
        <v>12</v>
      </c>
      <c r="H544" s="3">
        <v>17912.0</v>
      </c>
      <c r="I544" s="3" t="s">
        <v>47</v>
      </c>
      <c r="J544" s="3">
        <v>0.3</v>
      </c>
      <c r="K544" s="3">
        <v>17000.0</v>
      </c>
      <c r="L544" s="3" t="s">
        <v>164</v>
      </c>
      <c r="M544" s="3" t="str">
        <f t="shared" si="1"/>
        <v>Target Achieved</v>
      </c>
      <c r="N544" s="10">
        <f t="shared" si="2"/>
        <v>0.522875817</v>
      </c>
      <c r="O544" s="11">
        <f t="shared" si="3"/>
        <v>0.3</v>
      </c>
      <c r="P544" s="12">
        <f t="shared" si="4"/>
        <v>12538.4</v>
      </c>
    </row>
    <row r="545" ht="12.75" customHeight="1">
      <c r="A545" s="3" t="s">
        <v>869</v>
      </c>
      <c r="B545" s="3" t="s">
        <v>540</v>
      </c>
      <c r="C545" s="3" t="s">
        <v>57</v>
      </c>
      <c r="D545" s="3" t="s">
        <v>19</v>
      </c>
      <c r="E545" s="3" t="s">
        <v>46</v>
      </c>
      <c r="F545" s="3" t="s">
        <v>52</v>
      </c>
      <c r="G545" s="3" t="s">
        <v>11</v>
      </c>
      <c r="H545" s="3">
        <v>13705.0</v>
      </c>
      <c r="I545" s="3" t="s">
        <v>47</v>
      </c>
      <c r="J545" s="3">
        <v>0.3</v>
      </c>
      <c r="K545" s="3">
        <v>13000.0</v>
      </c>
      <c r="L545" s="3" t="s">
        <v>238</v>
      </c>
      <c r="M545" s="3" t="str">
        <f t="shared" si="1"/>
        <v>Target Achieved</v>
      </c>
      <c r="N545" s="10">
        <f t="shared" si="2"/>
        <v>0.5218340611</v>
      </c>
      <c r="O545" s="11">
        <f t="shared" si="3"/>
        <v>0.3</v>
      </c>
      <c r="P545" s="12">
        <f t="shared" si="4"/>
        <v>9593.5</v>
      </c>
    </row>
    <row r="546" ht="12.75" customHeight="1">
      <c r="A546" s="3" t="s">
        <v>870</v>
      </c>
      <c r="B546" s="3" t="s">
        <v>372</v>
      </c>
      <c r="C546" s="3" t="s">
        <v>18</v>
      </c>
      <c r="D546" s="3" t="s">
        <v>16</v>
      </c>
      <c r="E546" s="3" t="s">
        <v>20</v>
      </c>
      <c r="F546" s="3" t="s">
        <v>21</v>
      </c>
      <c r="G546" s="3" t="s">
        <v>11</v>
      </c>
      <c r="H546" s="3">
        <v>13062.0</v>
      </c>
      <c r="K546" s="3">
        <v>14000.0</v>
      </c>
      <c r="L546" s="3" t="s">
        <v>314</v>
      </c>
      <c r="M546" s="3" t="str">
        <f t="shared" si="1"/>
        <v>Below Target</v>
      </c>
      <c r="N546" s="10">
        <f t="shared" si="2"/>
        <v>0.5207877462</v>
      </c>
      <c r="O546" s="11">
        <f t="shared" si="3"/>
        <v>0</v>
      </c>
      <c r="P546" s="12">
        <f t="shared" si="4"/>
        <v>13062</v>
      </c>
    </row>
    <row r="547" ht="12.75" customHeight="1">
      <c r="A547" s="3" t="s">
        <v>871</v>
      </c>
      <c r="B547" s="3" t="s">
        <v>134</v>
      </c>
      <c r="C547" s="3" t="s">
        <v>18</v>
      </c>
      <c r="D547" s="3" t="s">
        <v>16</v>
      </c>
      <c r="E547" s="3" t="s">
        <v>20</v>
      </c>
      <c r="F547" s="3" t="s">
        <v>52</v>
      </c>
      <c r="G547" s="3" t="s">
        <v>12</v>
      </c>
      <c r="H547" s="3">
        <v>15342.0</v>
      </c>
      <c r="I547" s="3" t="s">
        <v>23</v>
      </c>
      <c r="J547" s="3">
        <v>0.2</v>
      </c>
      <c r="K547" s="3">
        <v>14000.0</v>
      </c>
      <c r="L547" s="3" t="s">
        <v>332</v>
      </c>
      <c r="M547" s="3" t="str">
        <f t="shared" si="1"/>
        <v>Target Achieved</v>
      </c>
      <c r="N547" s="10">
        <f t="shared" si="2"/>
        <v>0.5219298246</v>
      </c>
      <c r="O547" s="11">
        <f t="shared" si="3"/>
        <v>0.2</v>
      </c>
      <c r="P547" s="12">
        <f t="shared" si="4"/>
        <v>12273.6</v>
      </c>
    </row>
    <row r="548" ht="12.75" customHeight="1">
      <c r="A548" s="3" t="s">
        <v>872</v>
      </c>
      <c r="B548" s="3" t="s">
        <v>439</v>
      </c>
      <c r="C548" s="3" t="s">
        <v>57</v>
      </c>
      <c r="D548" s="3" t="s">
        <v>19</v>
      </c>
      <c r="E548" s="3" t="s">
        <v>20</v>
      </c>
      <c r="F548" s="3" t="s">
        <v>52</v>
      </c>
      <c r="G548" s="3" t="s">
        <v>12</v>
      </c>
      <c r="H548" s="3">
        <v>14214.0</v>
      </c>
      <c r="K548" s="3">
        <v>13000.0</v>
      </c>
      <c r="L548" s="3" t="s">
        <v>340</v>
      </c>
      <c r="M548" s="3" t="str">
        <f t="shared" si="1"/>
        <v>Target Achieved</v>
      </c>
      <c r="N548" s="10">
        <f t="shared" si="2"/>
        <v>0.5208791209</v>
      </c>
      <c r="O548" s="11">
        <f t="shared" si="3"/>
        <v>0</v>
      </c>
      <c r="P548" s="12">
        <f t="shared" si="4"/>
        <v>14214</v>
      </c>
    </row>
    <row r="549" ht="12.75" customHeight="1">
      <c r="A549" s="3" t="s">
        <v>873</v>
      </c>
      <c r="B549" s="3" t="s">
        <v>413</v>
      </c>
      <c r="C549" s="3" t="s">
        <v>45</v>
      </c>
      <c r="D549" s="3" t="s">
        <v>22</v>
      </c>
      <c r="E549" s="3" t="s">
        <v>46</v>
      </c>
      <c r="F549" s="3" t="s">
        <v>52</v>
      </c>
      <c r="G549" s="3" t="s">
        <v>12</v>
      </c>
      <c r="H549" s="3">
        <v>15741.0</v>
      </c>
      <c r="I549" s="3" t="s">
        <v>47</v>
      </c>
      <c r="J549" s="3">
        <v>0.3</v>
      </c>
      <c r="K549" s="3">
        <v>17000.0</v>
      </c>
      <c r="L549" s="15" t="s">
        <v>234</v>
      </c>
      <c r="M549" s="3" t="str">
        <f t="shared" si="1"/>
        <v>Below Target</v>
      </c>
      <c r="N549" s="10">
        <f t="shared" si="2"/>
        <v>0.5198237885</v>
      </c>
      <c r="O549" s="11">
        <f t="shared" si="3"/>
        <v>0.3</v>
      </c>
      <c r="P549" s="12">
        <f t="shared" si="4"/>
        <v>11018.7</v>
      </c>
    </row>
    <row r="550" ht="12.75" customHeight="1">
      <c r="A550" s="3" t="s">
        <v>874</v>
      </c>
      <c r="B550" s="3" t="s">
        <v>608</v>
      </c>
      <c r="C550" s="3" t="s">
        <v>45</v>
      </c>
      <c r="D550" s="3" t="s">
        <v>22</v>
      </c>
      <c r="E550" s="3" t="s">
        <v>20</v>
      </c>
      <c r="F550" s="3" t="s">
        <v>52</v>
      </c>
      <c r="G550" s="3" t="s">
        <v>13</v>
      </c>
      <c r="H550" s="3">
        <v>18878.0</v>
      </c>
      <c r="I550" s="3" t="s">
        <v>47</v>
      </c>
      <c r="J550" s="3">
        <v>0.3</v>
      </c>
      <c r="K550" s="3">
        <v>17000.0</v>
      </c>
      <c r="L550" s="15" t="s">
        <v>313</v>
      </c>
      <c r="M550" s="3" t="str">
        <f t="shared" si="1"/>
        <v>Target Achieved</v>
      </c>
      <c r="N550" s="10">
        <f t="shared" si="2"/>
        <v>0.5209713024</v>
      </c>
      <c r="O550" s="11">
        <f t="shared" si="3"/>
        <v>0.3</v>
      </c>
      <c r="P550" s="12">
        <f t="shared" si="4"/>
        <v>13214.6</v>
      </c>
    </row>
    <row r="551" ht="12.75" customHeight="1">
      <c r="A551" s="3" t="s">
        <v>875</v>
      </c>
      <c r="B551" s="3" t="s">
        <v>310</v>
      </c>
      <c r="C551" s="3" t="s">
        <v>45</v>
      </c>
      <c r="D551" s="3" t="s">
        <v>22</v>
      </c>
      <c r="E551" s="3" t="s">
        <v>46</v>
      </c>
      <c r="F551" s="3" t="s">
        <v>52</v>
      </c>
      <c r="G551" s="3" t="s">
        <v>11</v>
      </c>
      <c r="H551" s="3">
        <v>16722.0</v>
      </c>
      <c r="I551" s="3" t="s">
        <v>47</v>
      </c>
      <c r="J551" s="3">
        <v>0.3</v>
      </c>
      <c r="K551" s="3">
        <v>17000.0</v>
      </c>
      <c r="L551" s="3" t="s">
        <v>336</v>
      </c>
      <c r="M551" s="3" t="str">
        <f t="shared" si="1"/>
        <v>Below Target</v>
      </c>
      <c r="N551" s="10">
        <f t="shared" si="2"/>
        <v>0.5199115044</v>
      </c>
      <c r="O551" s="11">
        <f t="shared" si="3"/>
        <v>0.3</v>
      </c>
      <c r="P551" s="12">
        <f t="shared" si="4"/>
        <v>11705.4</v>
      </c>
    </row>
    <row r="552" ht="12.75" customHeight="1">
      <c r="A552" s="3" t="s">
        <v>876</v>
      </c>
      <c r="B552" s="3" t="s">
        <v>154</v>
      </c>
      <c r="C552" s="3" t="s">
        <v>45</v>
      </c>
      <c r="D552" s="3" t="s">
        <v>22</v>
      </c>
      <c r="E552" s="3" t="s">
        <v>58</v>
      </c>
      <c r="F552" s="3" t="s">
        <v>41</v>
      </c>
      <c r="G552" s="3" t="s">
        <v>11</v>
      </c>
      <c r="H552" s="3">
        <v>15219.0</v>
      </c>
      <c r="I552" s="3" t="s">
        <v>42</v>
      </c>
      <c r="K552" s="3">
        <v>17000.0</v>
      </c>
      <c r="L552" s="15" t="s">
        <v>275</v>
      </c>
      <c r="M552" s="3" t="str">
        <f t="shared" si="1"/>
        <v>Below Target</v>
      </c>
      <c r="N552" s="10">
        <f t="shared" si="2"/>
        <v>0.5210643016</v>
      </c>
      <c r="O552" s="11" t="str">
        <f t="shared" si="3"/>
        <v/>
      </c>
      <c r="P552" s="12">
        <f t="shared" si="4"/>
        <v>12936.15</v>
      </c>
    </row>
    <row r="553" ht="12.75" customHeight="1">
      <c r="A553" s="3" t="s">
        <v>877</v>
      </c>
      <c r="B553" s="3" t="s">
        <v>141</v>
      </c>
      <c r="C553" s="3" t="s">
        <v>76</v>
      </c>
      <c r="D553" s="3" t="s">
        <v>24</v>
      </c>
      <c r="E553" s="3" t="s">
        <v>46</v>
      </c>
      <c r="F553" s="3" t="s">
        <v>52</v>
      </c>
      <c r="G553" s="3" t="s">
        <v>13</v>
      </c>
      <c r="H553" s="3">
        <v>10553.0</v>
      </c>
      <c r="K553" s="3">
        <v>9000.0</v>
      </c>
      <c r="L553" s="15" t="s">
        <v>344</v>
      </c>
      <c r="M553" s="3" t="str">
        <f t="shared" si="1"/>
        <v>Target Achieved</v>
      </c>
      <c r="N553" s="10">
        <f t="shared" si="2"/>
        <v>0.5222222222</v>
      </c>
      <c r="O553" s="11">
        <f t="shared" si="3"/>
        <v>0</v>
      </c>
      <c r="P553" s="12">
        <f t="shared" si="4"/>
        <v>10553</v>
      </c>
    </row>
    <row r="554" ht="12.75" customHeight="1">
      <c r="A554" s="3" t="s">
        <v>878</v>
      </c>
      <c r="B554" s="3" t="s">
        <v>89</v>
      </c>
      <c r="C554" s="3" t="s">
        <v>18</v>
      </c>
      <c r="D554" s="3" t="s">
        <v>16</v>
      </c>
      <c r="E554" s="3" t="s">
        <v>46</v>
      </c>
      <c r="F554" s="3" t="s">
        <v>41</v>
      </c>
      <c r="G554" s="3" t="s">
        <v>13</v>
      </c>
      <c r="H554" s="3">
        <v>13403.0</v>
      </c>
      <c r="K554" s="3">
        <v>14000.0</v>
      </c>
      <c r="L554" s="15" t="s">
        <v>352</v>
      </c>
      <c r="M554" s="3" t="str">
        <f t="shared" si="1"/>
        <v>Below Target</v>
      </c>
      <c r="N554" s="10">
        <f t="shared" si="2"/>
        <v>0.5211581292</v>
      </c>
      <c r="O554" s="11">
        <f t="shared" si="3"/>
        <v>0</v>
      </c>
      <c r="P554" s="12">
        <f t="shared" si="4"/>
        <v>13403</v>
      </c>
    </row>
    <row r="555" ht="12.75" customHeight="1">
      <c r="A555" s="3" t="s">
        <v>879</v>
      </c>
      <c r="B555" s="3" t="s">
        <v>545</v>
      </c>
      <c r="C555" s="3" t="s">
        <v>57</v>
      </c>
      <c r="D555" s="3" t="s">
        <v>19</v>
      </c>
      <c r="E555" s="3" t="s">
        <v>58</v>
      </c>
      <c r="F555" s="3" t="s">
        <v>52</v>
      </c>
      <c r="G555" s="3" t="s">
        <v>13</v>
      </c>
      <c r="H555" s="3">
        <v>14190.0</v>
      </c>
      <c r="I555" s="3" t="s">
        <v>37</v>
      </c>
      <c r="J555" s="3">
        <v>0.1</v>
      </c>
      <c r="K555" s="3">
        <v>13000.0</v>
      </c>
      <c r="L555" s="15" t="s">
        <v>177</v>
      </c>
      <c r="M555" s="3" t="str">
        <f t="shared" si="1"/>
        <v>Target Achieved</v>
      </c>
      <c r="N555" s="10">
        <f t="shared" si="2"/>
        <v>0.5223214286</v>
      </c>
      <c r="O555" s="11">
        <f t="shared" si="3"/>
        <v>0.1</v>
      </c>
      <c r="P555" s="12">
        <f t="shared" si="4"/>
        <v>12771</v>
      </c>
    </row>
    <row r="556" ht="12.75" customHeight="1">
      <c r="A556" s="3" t="s">
        <v>880</v>
      </c>
      <c r="B556" s="3" t="s">
        <v>192</v>
      </c>
      <c r="C556" s="3" t="s">
        <v>57</v>
      </c>
      <c r="D556" s="3" t="s">
        <v>19</v>
      </c>
      <c r="E556" s="3" t="s">
        <v>58</v>
      </c>
      <c r="F556" s="3" t="s">
        <v>52</v>
      </c>
      <c r="G556" s="3" t="s">
        <v>13</v>
      </c>
      <c r="H556" s="3">
        <v>11019.0</v>
      </c>
      <c r="K556" s="3">
        <v>13000.0</v>
      </c>
      <c r="L556" s="3" t="s">
        <v>73</v>
      </c>
      <c r="M556" s="3" t="str">
        <f t="shared" si="1"/>
        <v>Below Target</v>
      </c>
      <c r="N556" s="10">
        <f t="shared" si="2"/>
        <v>0.5212527964</v>
      </c>
      <c r="O556" s="11">
        <f t="shared" si="3"/>
        <v>0</v>
      </c>
      <c r="P556" s="12">
        <f t="shared" si="4"/>
        <v>11019</v>
      </c>
    </row>
    <row r="557" ht="12.75" customHeight="1">
      <c r="A557" s="3" t="s">
        <v>881</v>
      </c>
      <c r="B557" s="3" t="s">
        <v>501</v>
      </c>
      <c r="C557" s="3" t="s">
        <v>57</v>
      </c>
      <c r="D557" s="3" t="s">
        <v>19</v>
      </c>
      <c r="E557" s="3" t="s">
        <v>20</v>
      </c>
      <c r="F557" s="3" t="s">
        <v>41</v>
      </c>
      <c r="G557" s="3" t="s">
        <v>11</v>
      </c>
      <c r="H557" s="3">
        <v>14216.0</v>
      </c>
      <c r="I557" s="3" t="s">
        <v>37</v>
      </c>
      <c r="J557" s="3">
        <v>0.1</v>
      </c>
      <c r="K557" s="3">
        <v>13000.0</v>
      </c>
      <c r="L557" s="15" t="s">
        <v>353</v>
      </c>
      <c r="M557" s="3" t="str">
        <f t="shared" si="1"/>
        <v>Target Achieved</v>
      </c>
      <c r="N557" s="10">
        <f t="shared" si="2"/>
        <v>0.5224215247</v>
      </c>
      <c r="O557" s="11">
        <f t="shared" si="3"/>
        <v>0.1</v>
      </c>
      <c r="P557" s="12">
        <f t="shared" si="4"/>
        <v>12794.4</v>
      </c>
    </row>
    <row r="558" ht="12.75" customHeight="1">
      <c r="A558" s="3" t="s">
        <v>882</v>
      </c>
      <c r="B558" s="3" t="s">
        <v>434</v>
      </c>
      <c r="C558" s="3" t="s">
        <v>76</v>
      </c>
      <c r="D558" s="3" t="s">
        <v>24</v>
      </c>
      <c r="E558" s="3" t="s">
        <v>58</v>
      </c>
      <c r="F558" s="3" t="s">
        <v>21</v>
      </c>
      <c r="G558" s="3" t="s">
        <v>11</v>
      </c>
      <c r="H558" s="3">
        <v>8570.0</v>
      </c>
      <c r="I558" s="3" t="s">
        <v>37</v>
      </c>
      <c r="J558" s="3">
        <v>0.1</v>
      </c>
      <c r="K558" s="3">
        <v>9000.0</v>
      </c>
      <c r="L558" s="15" t="s">
        <v>341</v>
      </c>
      <c r="M558" s="3" t="str">
        <f t="shared" si="1"/>
        <v>Below Target</v>
      </c>
      <c r="N558" s="10">
        <f t="shared" si="2"/>
        <v>0.5213483146</v>
      </c>
      <c r="O558" s="11">
        <f t="shared" si="3"/>
        <v>0.1</v>
      </c>
      <c r="P558" s="12">
        <f t="shared" si="4"/>
        <v>7713</v>
      </c>
    </row>
    <row r="559" ht="12.75" customHeight="1">
      <c r="A559" s="3" t="s">
        <v>883</v>
      </c>
      <c r="B559" s="3" t="s">
        <v>443</v>
      </c>
      <c r="C559" s="3" t="s">
        <v>45</v>
      </c>
      <c r="D559" s="3" t="s">
        <v>22</v>
      </c>
      <c r="E559" s="3" t="s">
        <v>46</v>
      </c>
      <c r="F559" s="3" t="s">
        <v>21</v>
      </c>
      <c r="G559" s="3" t="s">
        <v>12</v>
      </c>
      <c r="H559" s="3">
        <v>15780.0</v>
      </c>
      <c r="I559" s="3" t="s">
        <v>37</v>
      </c>
      <c r="J559" s="3">
        <v>0.1</v>
      </c>
      <c r="K559" s="3">
        <v>17000.0</v>
      </c>
      <c r="L559" s="3" t="s">
        <v>238</v>
      </c>
      <c r="M559" s="3" t="str">
        <f t="shared" si="1"/>
        <v>Below Target</v>
      </c>
      <c r="N559" s="10">
        <f t="shared" si="2"/>
        <v>0.5225225225</v>
      </c>
      <c r="O559" s="11">
        <f t="shared" si="3"/>
        <v>0.1</v>
      </c>
      <c r="P559" s="12">
        <f t="shared" si="4"/>
        <v>14202</v>
      </c>
    </row>
    <row r="560" ht="12.75" customHeight="1">
      <c r="A560" s="3" t="s">
        <v>884</v>
      </c>
      <c r="B560" s="3" t="s">
        <v>85</v>
      </c>
      <c r="C560" s="3" t="s">
        <v>57</v>
      </c>
      <c r="D560" s="3" t="s">
        <v>19</v>
      </c>
      <c r="E560" s="3" t="s">
        <v>46</v>
      </c>
      <c r="F560" s="3" t="s">
        <v>52</v>
      </c>
      <c r="G560" s="3" t="s">
        <v>11</v>
      </c>
      <c r="H560" s="3">
        <v>12278.0</v>
      </c>
      <c r="I560" s="3" t="s">
        <v>23</v>
      </c>
      <c r="J560" s="3">
        <v>0.2</v>
      </c>
      <c r="K560" s="3">
        <v>13000.0</v>
      </c>
      <c r="L560" s="15" t="s">
        <v>234</v>
      </c>
      <c r="M560" s="3" t="str">
        <f t="shared" si="1"/>
        <v>Below Target</v>
      </c>
      <c r="N560" s="10">
        <f t="shared" si="2"/>
        <v>0.5237020316</v>
      </c>
      <c r="O560" s="11">
        <f t="shared" si="3"/>
        <v>0.2</v>
      </c>
      <c r="P560" s="12">
        <f t="shared" si="4"/>
        <v>9822.4</v>
      </c>
    </row>
    <row r="561" ht="12.75" customHeight="1">
      <c r="A561" s="3" t="s">
        <v>885</v>
      </c>
      <c r="B561" s="3" t="s">
        <v>612</v>
      </c>
      <c r="C561" s="3" t="s">
        <v>45</v>
      </c>
      <c r="D561" s="3" t="s">
        <v>22</v>
      </c>
      <c r="E561" s="3" t="s">
        <v>46</v>
      </c>
      <c r="F561" s="3" t="s">
        <v>41</v>
      </c>
      <c r="G561" s="3" t="s">
        <v>13</v>
      </c>
      <c r="H561" s="3">
        <v>16221.0</v>
      </c>
      <c r="I561" s="3" t="s">
        <v>47</v>
      </c>
      <c r="J561" s="3">
        <v>0.3</v>
      </c>
      <c r="K561" s="3">
        <v>17000.0</v>
      </c>
      <c r="L561" s="3" t="s">
        <v>345</v>
      </c>
      <c r="M561" s="3" t="str">
        <f t="shared" si="1"/>
        <v>Below Target</v>
      </c>
      <c r="N561" s="10">
        <f t="shared" si="2"/>
        <v>0.5248868778</v>
      </c>
      <c r="O561" s="11">
        <f t="shared" si="3"/>
        <v>0.3</v>
      </c>
      <c r="P561" s="12">
        <f t="shared" si="4"/>
        <v>11354.7</v>
      </c>
    </row>
    <row r="562" ht="12.75" customHeight="1">
      <c r="A562" s="3" t="s">
        <v>886</v>
      </c>
      <c r="B562" s="3" t="s">
        <v>136</v>
      </c>
      <c r="C562" s="3" t="s">
        <v>45</v>
      </c>
      <c r="D562" s="3" t="s">
        <v>22</v>
      </c>
      <c r="E562" s="3" t="s">
        <v>58</v>
      </c>
      <c r="F562" s="3" t="s">
        <v>52</v>
      </c>
      <c r="G562" s="3" t="s">
        <v>13</v>
      </c>
      <c r="H562" s="3">
        <v>16403.0</v>
      </c>
      <c r="K562" s="3">
        <v>17000.0</v>
      </c>
      <c r="L562" s="3" t="s">
        <v>334</v>
      </c>
      <c r="M562" s="3" t="str">
        <f t="shared" si="1"/>
        <v>Below Target</v>
      </c>
      <c r="N562" s="10">
        <f t="shared" si="2"/>
        <v>0.5260770975</v>
      </c>
      <c r="O562" s="11">
        <f t="shared" si="3"/>
        <v>0</v>
      </c>
      <c r="P562" s="12">
        <f t="shared" si="4"/>
        <v>16403</v>
      </c>
    </row>
    <row r="563" ht="12.75" customHeight="1">
      <c r="A563" s="3" t="s">
        <v>887</v>
      </c>
      <c r="B563" s="3" t="s">
        <v>388</v>
      </c>
      <c r="C563" s="3" t="s">
        <v>57</v>
      </c>
      <c r="D563" s="3" t="s">
        <v>19</v>
      </c>
      <c r="E563" s="3" t="s">
        <v>58</v>
      </c>
      <c r="F563" s="3" t="s">
        <v>41</v>
      </c>
      <c r="G563" s="3" t="s">
        <v>13</v>
      </c>
      <c r="H563" s="3">
        <v>11918.0</v>
      </c>
      <c r="I563" s="3" t="s">
        <v>23</v>
      </c>
      <c r="J563" s="3">
        <v>0.2</v>
      </c>
      <c r="K563" s="3">
        <v>13000.0</v>
      </c>
      <c r="L563" s="3" t="s">
        <v>65</v>
      </c>
      <c r="M563" s="3" t="str">
        <f t="shared" si="1"/>
        <v>Below Target</v>
      </c>
      <c r="N563" s="10">
        <f t="shared" si="2"/>
        <v>0.5272727273</v>
      </c>
      <c r="O563" s="11">
        <f t="shared" si="3"/>
        <v>0.2</v>
      </c>
      <c r="P563" s="12">
        <f t="shared" si="4"/>
        <v>9534.4</v>
      </c>
    </row>
    <row r="564" ht="12.75" customHeight="1">
      <c r="A564" s="3" t="s">
        <v>888</v>
      </c>
      <c r="B564" s="3" t="s">
        <v>564</v>
      </c>
      <c r="C564" s="3" t="s">
        <v>57</v>
      </c>
      <c r="D564" s="3" t="s">
        <v>19</v>
      </c>
      <c r="E564" s="3" t="s">
        <v>46</v>
      </c>
      <c r="F564" s="3" t="s">
        <v>21</v>
      </c>
      <c r="G564" s="3" t="s">
        <v>12</v>
      </c>
      <c r="H564" s="3">
        <v>13664.0</v>
      </c>
      <c r="I564" s="3" t="s">
        <v>37</v>
      </c>
      <c r="J564" s="3">
        <v>0.1</v>
      </c>
      <c r="K564" s="3">
        <v>13000.0</v>
      </c>
      <c r="L564" s="3" t="s">
        <v>88</v>
      </c>
      <c r="M564" s="3" t="str">
        <f t="shared" si="1"/>
        <v>Target Achieved</v>
      </c>
      <c r="N564" s="10">
        <f t="shared" si="2"/>
        <v>0.5284738041</v>
      </c>
      <c r="O564" s="11">
        <f t="shared" si="3"/>
        <v>0.1</v>
      </c>
      <c r="P564" s="12">
        <f t="shared" si="4"/>
        <v>12297.6</v>
      </c>
    </row>
    <row r="565" ht="12.75" customHeight="1">
      <c r="A565" s="3" t="s">
        <v>889</v>
      </c>
      <c r="B565" s="3" t="s">
        <v>62</v>
      </c>
      <c r="C565" s="3" t="s">
        <v>45</v>
      </c>
      <c r="D565" s="3" t="s">
        <v>22</v>
      </c>
      <c r="E565" s="3" t="s">
        <v>20</v>
      </c>
      <c r="F565" s="3" t="s">
        <v>52</v>
      </c>
      <c r="G565" s="3" t="s">
        <v>13</v>
      </c>
      <c r="H565" s="3">
        <v>17432.0</v>
      </c>
      <c r="I565" s="3" t="s">
        <v>37</v>
      </c>
      <c r="J565" s="3">
        <v>0.1</v>
      </c>
      <c r="K565" s="3">
        <v>17000.0</v>
      </c>
      <c r="L565" s="15" t="s">
        <v>317</v>
      </c>
      <c r="M565" s="3" t="str">
        <f t="shared" si="1"/>
        <v>Target Achieved</v>
      </c>
      <c r="N565" s="10">
        <f t="shared" si="2"/>
        <v>0.5273972603</v>
      </c>
      <c r="O565" s="11">
        <f t="shared" si="3"/>
        <v>0.1</v>
      </c>
      <c r="P565" s="12">
        <f t="shared" si="4"/>
        <v>15688.8</v>
      </c>
    </row>
    <row r="566" ht="12.75" customHeight="1">
      <c r="A566" s="3" t="s">
        <v>890</v>
      </c>
      <c r="B566" s="3" t="s">
        <v>36</v>
      </c>
      <c r="C566" s="3" t="s">
        <v>18</v>
      </c>
      <c r="D566" s="3" t="s">
        <v>16</v>
      </c>
      <c r="E566" s="3" t="s">
        <v>46</v>
      </c>
      <c r="F566" s="3" t="s">
        <v>52</v>
      </c>
      <c r="G566" s="3" t="s">
        <v>13</v>
      </c>
      <c r="H566" s="3">
        <v>13707.0</v>
      </c>
      <c r="K566" s="3">
        <v>14000.0</v>
      </c>
      <c r="L566" s="3" t="s">
        <v>88</v>
      </c>
      <c r="M566" s="3" t="str">
        <f t="shared" si="1"/>
        <v>Below Target</v>
      </c>
      <c r="N566" s="10">
        <f t="shared" si="2"/>
        <v>0.5263157895</v>
      </c>
      <c r="O566" s="11">
        <f t="shared" si="3"/>
        <v>0</v>
      </c>
      <c r="P566" s="12">
        <f t="shared" si="4"/>
        <v>13707</v>
      </c>
    </row>
    <row r="567" ht="12.75" customHeight="1">
      <c r="A567" s="3" t="s">
        <v>891</v>
      </c>
      <c r="B567" s="3" t="s">
        <v>300</v>
      </c>
      <c r="C567" s="3" t="s">
        <v>45</v>
      </c>
      <c r="D567" s="3" t="s">
        <v>22</v>
      </c>
      <c r="E567" s="3" t="s">
        <v>58</v>
      </c>
      <c r="F567" s="3" t="s">
        <v>52</v>
      </c>
      <c r="G567" s="3" t="s">
        <v>13</v>
      </c>
      <c r="H567" s="3">
        <v>15841.0</v>
      </c>
      <c r="I567" s="3" t="s">
        <v>37</v>
      </c>
      <c r="J567" s="3">
        <v>0.1</v>
      </c>
      <c r="K567" s="3">
        <v>17000.0</v>
      </c>
      <c r="L567" s="3" t="s">
        <v>327</v>
      </c>
      <c r="M567" s="3" t="str">
        <f t="shared" si="1"/>
        <v>Below Target</v>
      </c>
      <c r="N567" s="10">
        <f t="shared" si="2"/>
        <v>0.5275229358</v>
      </c>
      <c r="O567" s="11">
        <f t="shared" si="3"/>
        <v>0.1</v>
      </c>
      <c r="P567" s="12">
        <f t="shared" si="4"/>
        <v>14256.9</v>
      </c>
    </row>
    <row r="568" ht="12.75" customHeight="1">
      <c r="A568" s="3" t="s">
        <v>892</v>
      </c>
      <c r="B568" s="3" t="s">
        <v>366</v>
      </c>
      <c r="C568" s="3" t="s">
        <v>18</v>
      </c>
      <c r="D568" s="3" t="s">
        <v>16</v>
      </c>
      <c r="E568" s="3" t="s">
        <v>20</v>
      </c>
      <c r="F568" s="3" t="s">
        <v>52</v>
      </c>
      <c r="G568" s="3" t="s">
        <v>11</v>
      </c>
      <c r="H568" s="3">
        <v>14550.0</v>
      </c>
      <c r="I568" s="3" t="s">
        <v>42</v>
      </c>
      <c r="K568" s="3">
        <v>14000.0</v>
      </c>
      <c r="L568" s="3" t="s">
        <v>96</v>
      </c>
      <c r="M568" s="3" t="str">
        <f t="shared" si="1"/>
        <v>Target Achieved</v>
      </c>
      <c r="N568" s="10">
        <f t="shared" si="2"/>
        <v>0.5287356322</v>
      </c>
      <c r="O568" s="11" t="str">
        <f t="shared" si="3"/>
        <v/>
      </c>
      <c r="P568" s="12">
        <f t="shared" si="4"/>
        <v>12367.5</v>
      </c>
    </row>
    <row r="569" ht="12.75" customHeight="1">
      <c r="A569" s="3" t="s">
        <v>893</v>
      </c>
      <c r="B569" s="3" t="s">
        <v>463</v>
      </c>
      <c r="C569" s="3" t="s">
        <v>18</v>
      </c>
      <c r="D569" s="3" t="s">
        <v>16</v>
      </c>
      <c r="E569" s="3" t="s">
        <v>20</v>
      </c>
      <c r="F569" s="3" t="s">
        <v>52</v>
      </c>
      <c r="G569" s="3" t="s">
        <v>12</v>
      </c>
      <c r="H569" s="3">
        <v>12482.0</v>
      </c>
      <c r="I569" s="3" t="s">
        <v>47</v>
      </c>
      <c r="J569" s="3">
        <v>0.3</v>
      </c>
      <c r="K569" s="3">
        <v>14000.0</v>
      </c>
      <c r="L569" s="15" t="s">
        <v>147</v>
      </c>
      <c r="M569" s="3" t="str">
        <f t="shared" si="1"/>
        <v>Below Target</v>
      </c>
      <c r="N569" s="10">
        <f t="shared" si="2"/>
        <v>0.5276497696</v>
      </c>
      <c r="O569" s="11">
        <f t="shared" si="3"/>
        <v>0.3</v>
      </c>
      <c r="P569" s="12">
        <f t="shared" si="4"/>
        <v>8737.4</v>
      </c>
    </row>
    <row r="570" ht="12.75" customHeight="1">
      <c r="A570" s="3" t="s">
        <v>894</v>
      </c>
      <c r="B570" s="3" t="s">
        <v>752</v>
      </c>
      <c r="C570" s="3" t="s">
        <v>76</v>
      </c>
      <c r="D570" s="3" t="s">
        <v>24</v>
      </c>
      <c r="E570" s="3" t="s">
        <v>46</v>
      </c>
      <c r="F570" s="3" t="s">
        <v>52</v>
      </c>
      <c r="G570" s="3" t="s">
        <v>13</v>
      </c>
      <c r="H570" s="3">
        <v>10186.0</v>
      </c>
      <c r="I570" s="3" t="s">
        <v>47</v>
      </c>
      <c r="J570" s="3">
        <v>0.3</v>
      </c>
      <c r="K570" s="3">
        <v>9000.0</v>
      </c>
      <c r="L570" s="3" t="s">
        <v>106</v>
      </c>
      <c r="M570" s="3" t="str">
        <f t="shared" si="1"/>
        <v>Target Achieved</v>
      </c>
      <c r="N570" s="10">
        <f t="shared" si="2"/>
        <v>0.5288683603</v>
      </c>
      <c r="O570" s="11">
        <f t="shared" si="3"/>
        <v>0.3</v>
      </c>
      <c r="P570" s="12">
        <f t="shared" si="4"/>
        <v>7130.2</v>
      </c>
    </row>
    <row r="571" ht="12.75" customHeight="1">
      <c r="A571" s="3" t="s">
        <v>895</v>
      </c>
      <c r="B571" s="3" t="s">
        <v>443</v>
      </c>
      <c r="C571" s="3" t="s">
        <v>45</v>
      </c>
      <c r="D571" s="3" t="s">
        <v>22</v>
      </c>
      <c r="E571" s="3" t="s">
        <v>20</v>
      </c>
      <c r="F571" s="3" t="s">
        <v>21</v>
      </c>
      <c r="G571" s="3" t="s">
        <v>11</v>
      </c>
      <c r="H571" s="3">
        <v>15656.0</v>
      </c>
      <c r="I571" s="3" t="s">
        <v>37</v>
      </c>
      <c r="J571" s="3">
        <v>0.1</v>
      </c>
      <c r="K571" s="3">
        <v>17000.0</v>
      </c>
      <c r="L571" s="15" t="s">
        <v>349</v>
      </c>
      <c r="M571" s="3" t="str">
        <f t="shared" si="1"/>
        <v>Below Target</v>
      </c>
      <c r="N571" s="10">
        <f t="shared" si="2"/>
        <v>0.5277777778</v>
      </c>
      <c r="O571" s="11">
        <f t="shared" si="3"/>
        <v>0.1</v>
      </c>
      <c r="P571" s="12">
        <f t="shared" si="4"/>
        <v>14090.4</v>
      </c>
    </row>
    <row r="572" ht="12.75" customHeight="1">
      <c r="A572" s="3" t="s">
        <v>896</v>
      </c>
      <c r="B572" s="3" t="s">
        <v>266</v>
      </c>
      <c r="C572" s="3" t="s">
        <v>76</v>
      </c>
      <c r="D572" s="3" t="s">
        <v>24</v>
      </c>
      <c r="E572" s="3" t="s">
        <v>58</v>
      </c>
      <c r="F572" s="3" t="s">
        <v>41</v>
      </c>
      <c r="G572" s="3" t="s">
        <v>13</v>
      </c>
      <c r="H572" s="3">
        <v>7052.0</v>
      </c>
      <c r="I572" s="3" t="s">
        <v>37</v>
      </c>
      <c r="J572" s="3">
        <v>0.1</v>
      </c>
      <c r="K572" s="3">
        <v>9000.0</v>
      </c>
      <c r="L572" s="3" t="s">
        <v>340</v>
      </c>
      <c r="M572" s="3" t="str">
        <f t="shared" si="1"/>
        <v>Below Target</v>
      </c>
      <c r="N572" s="10">
        <f t="shared" si="2"/>
        <v>0.5290023202</v>
      </c>
      <c r="O572" s="11">
        <f t="shared" si="3"/>
        <v>0.1</v>
      </c>
      <c r="P572" s="12">
        <f t="shared" si="4"/>
        <v>6346.8</v>
      </c>
    </row>
    <row r="573" ht="12.75" customHeight="1">
      <c r="A573" s="3" t="s">
        <v>897</v>
      </c>
      <c r="B573" s="3" t="s">
        <v>202</v>
      </c>
      <c r="C573" s="3" t="s">
        <v>76</v>
      </c>
      <c r="D573" s="3" t="s">
        <v>24</v>
      </c>
      <c r="E573" s="3" t="s">
        <v>46</v>
      </c>
      <c r="F573" s="3" t="s">
        <v>41</v>
      </c>
      <c r="G573" s="3" t="s">
        <v>12</v>
      </c>
      <c r="H573" s="3">
        <v>7307.0</v>
      </c>
      <c r="I573" s="3" t="s">
        <v>37</v>
      </c>
      <c r="J573" s="3">
        <v>0.1</v>
      </c>
      <c r="K573" s="3">
        <v>9000.0</v>
      </c>
      <c r="L573" s="3" t="s">
        <v>338</v>
      </c>
      <c r="M573" s="3" t="str">
        <f t="shared" si="1"/>
        <v>Below Target</v>
      </c>
      <c r="N573" s="10">
        <f t="shared" si="2"/>
        <v>0.5302325581</v>
      </c>
      <c r="O573" s="11">
        <f t="shared" si="3"/>
        <v>0.1</v>
      </c>
      <c r="P573" s="12">
        <f t="shared" si="4"/>
        <v>6576.3</v>
      </c>
    </row>
    <row r="574" ht="12.75" customHeight="1">
      <c r="A574" s="3" t="s">
        <v>898</v>
      </c>
      <c r="B574" s="3" t="s">
        <v>379</v>
      </c>
      <c r="C574" s="3" t="s">
        <v>57</v>
      </c>
      <c r="D574" s="3" t="s">
        <v>19</v>
      </c>
      <c r="E574" s="3" t="s">
        <v>58</v>
      </c>
      <c r="F574" s="3" t="s">
        <v>21</v>
      </c>
      <c r="G574" s="3" t="s">
        <v>11</v>
      </c>
      <c r="H574" s="3">
        <v>12901.0</v>
      </c>
      <c r="I574" s="3" t="s">
        <v>37</v>
      </c>
      <c r="J574" s="3">
        <v>0.1</v>
      </c>
      <c r="K574" s="3">
        <v>13000.0</v>
      </c>
      <c r="L574" s="15" t="s">
        <v>234</v>
      </c>
      <c r="M574" s="3" t="str">
        <f t="shared" si="1"/>
        <v>Below Target</v>
      </c>
      <c r="N574" s="10">
        <f t="shared" si="2"/>
        <v>0.5314685315</v>
      </c>
      <c r="O574" s="11">
        <f t="shared" si="3"/>
        <v>0.1</v>
      </c>
      <c r="P574" s="12">
        <f t="shared" si="4"/>
        <v>11610.9</v>
      </c>
    </row>
    <row r="575" ht="12.75" customHeight="1">
      <c r="A575" s="3" t="s">
        <v>899</v>
      </c>
      <c r="B575" s="3" t="s">
        <v>512</v>
      </c>
      <c r="C575" s="3" t="s">
        <v>18</v>
      </c>
      <c r="D575" s="3" t="s">
        <v>16</v>
      </c>
      <c r="E575" s="3" t="s">
        <v>58</v>
      </c>
      <c r="F575" s="3" t="s">
        <v>21</v>
      </c>
      <c r="G575" s="3" t="s">
        <v>12</v>
      </c>
      <c r="H575" s="3">
        <v>13280.0</v>
      </c>
      <c r="K575" s="3">
        <v>14000.0</v>
      </c>
      <c r="L575" s="3" t="s">
        <v>38</v>
      </c>
      <c r="M575" s="3" t="str">
        <f t="shared" si="1"/>
        <v>Below Target</v>
      </c>
      <c r="N575" s="10">
        <f t="shared" si="2"/>
        <v>0.5327102804</v>
      </c>
      <c r="O575" s="11">
        <f t="shared" si="3"/>
        <v>0</v>
      </c>
      <c r="P575" s="12">
        <f t="shared" si="4"/>
        <v>13280</v>
      </c>
    </row>
    <row r="576" ht="12.75" customHeight="1">
      <c r="A576" s="3" t="s">
        <v>900</v>
      </c>
      <c r="B576" s="3" t="s">
        <v>102</v>
      </c>
      <c r="C576" s="3" t="s">
        <v>18</v>
      </c>
      <c r="D576" s="3" t="s">
        <v>16</v>
      </c>
      <c r="E576" s="3" t="s">
        <v>46</v>
      </c>
      <c r="F576" s="3" t="s">
        <v>41</v>
      </c>
      <c r="G576" s="3" t="s">
        <v>12</v>
      </c>
      <c r="H576" s="3">
        <v>14650.0</v>
      </c>
      <c r="I576" s="3" t="s">
        <v>23</v>
      </c>
      <c r="J576" s="3">
        <v>0.2</v>
      </c>
      <c r="K576" s="3">
        <v>14000.0</v>
      </c>
      <c r="L576" s="3" t="s">
        <v>332</v>
      </c>
      <c r="M576" s="3" t="str">
        <f t="shared" si="1"/>
        <v>Target Achieved</v>
      </c>
      <c r="N576" s="10">
        <f t="shared" si="2"/>
        <v>0.5339578454</v>
      </c>
      <c r="O576" s="11">
        <f t="shared" si="3"/>
        <v>0.2</v>
      </c>
      <c r="P576" s="12">
        <f t="shared" si="4"/>
        <v>11720</v>
      </c>
    </row>
    <row r="577" ht="12.75" customHeight="1">
      <c r="A577" s="3" t="s">
        <v>901</v>
      </c>
      <c r="B577" s="3" t="s">
        <v>902</v>
      </c>
      <c r="C577" s="3" t="s">
        <v>45</v>
      </c>
      <c r="D577" s="3" t="s">
        <v>22</v>
      </c>
      <c r="E577" s="3" t="s">
        <v>20</v>
      </c>
      <c r="F577" s="3" t="s">
        <v>41</v>
      </c>
      <c r="G577" s="3" t="s">
        <v>11</v>
      </c>
      <c r="H577" s="3">
        <v>18338.0</v>
      </c>
      <c r="I577" s="3" t="s">
        <v>47</v>
      </c>
      <c r="J577" s="3">
        <v>0.3</v>
      </c>
      <c r="K577" s="3">
        <v>17000.0</v>
      </c>
      <c r="L577" s="15" t="s">
        <v>316</v>
      </c>
      <c r="M577" s="3" t="str">
        <f t="shared" si="1"/>
        <v>Target Achieved</v>
      </c>
      <c r="N577" s="10">
        <f t="shared" si="2"/>
        <v>0.5328638498</v>
      </c>
      <c r="O577" s="11">
        <f t="shared" si="3"/>
        <v>0.3</v>
      </c>
      <c r="P577" s="12">
        <f t="shared" si="4"/>
        <v>12836.6</v>
      </c>
    </row>
    <row r="578" ht="12.75" customHeight="1">
      <c r="A578" s="3" t="s">
        <v>903</v>
      </c>
      <c r="B578" s="3" t="s">
        <v>82</v>
      </c>
      <c r="C578" s="3" t="s">
        <v>76</v>
      </c>
      <c r="D578" s="3" t="s">
        <v>24</v>
      </c>
      <c r="E578" s="3" t="s">
        <v>58</v>
      </c>
      <c r="F578" s="3" t="s">
        <v>21</v>
      </c>
      <c r="G578" s="3" t="s">
        <v>11</v>
      </c>
      <c r="H578" s="3">
        <v>9825.0</v>
      </c>
      <c r="K578" s="3">
        <v>9000.0</v>
      </c>
      <c r="L578" s="3" t="s">
        <v>330</v>
      </c>
      <c r="M578" s="3" t="str">
        <f t="shared" si="1"/>
        <v>Target Achieved</v>
      </c>
      <c r="N578" s="10">
        <f t="shared" si="2"/>
        <v>0.5317647059</v>
      </c>
      <c r="O578" s="11">
        <f t="shared" si="3"/>
        <v>0</v>
      </c>
      <c r="P578" s="12">
        <f t="shared" si="4"/>
        <v>9825</v>
      </c>
    </row>
    <row r="579" ht="12.75" customHeight="1">
      <c r="A579" s="3" t="s">
        <v>904</v>
      </c>
      <c r="B579" s="3" t="s">
        <v>366</v>
      </c>
      <c r="C579" s="3" t="s">
        <v>57</v>
      </c>
      <c r="D579" s="3" t="s">
        <v>19</v>
      </c>
      <c r="E579" s="3" t="s">
        <v>46</v>
      </c>
      <c r="F579" s="3" t="s">
        <v>41</v>
      </c>
      <c r="G579" s="3" t="s">
        <v>12</v>
      </c>
      <c r="H579" s="3">
        <v>13975.0</v>
      </c>
      <c r="I579" s="3" t="s">
        <v>37</v>
      </c>
      <c r="J579" s="3">
        <v>0.1</v>
      </c>
      <c r="K579" s="3">
        <v>13000.0</v>
      </c>
      <c r="L579" s="15" t="s">
        <v>183</v>
      </c>
      <c r="M579" s="3" t="str">
        <f t="shared" si="1"/>
        <v>Target Achieved</v>
      </c>
      <c r="N579" s="10">
        <f t="shared" si="2"/>
        <v>0.5306603774</v>
      </c>
      <c r="O579" s="11">
        <f t="shared" si="3"/>
        <v>0.1</v>
      </c>
      <c r="P579" s="12">
        <f t="shared" si="4"/>
        <v>12577.5</v>
      </c>
    </row>
    <row r="580" ht="12.75" customHeight="1">
      <c r="A580" s="3" t="s">
        <v>905</v>
      </c>
      <c r="B580" s="3" t="s">
        <v>512</v>
      </c>
      <c r="C580" s="3" t="s">
        <v>18</v>
      </c>
      <c r="D580" s="3" t="s">
        <v>16</v>
      </c>
      <c r="E580" s="3" t="s">
        <v>58</v>
      </c>
      <c r="F580" s="3" t="s">
        <v>52</v>
      </c>
      <c r="G580" s="3" t="s">
        <v>11</v>
      </c>
      <c r="H580" s="3">
        <v>15286.0</v>
      </c>
      <c r="I580" s="3" t="s">
        <v>42</v>
      </c>
      <c r="K580" s="3">
        <v>14000.0</v>
      </c>
      <c r="L580" s="3" t="s">
        <v>238</v>
      </c>
      <c r="M580" s="3" t="str">
        <f t="shared" si="1"/>
        <v>Target Achieved</v>
      </c>
      <c r="N580" s="10">
        <f t="shared" si="2"/>
        <v>0.5295508274</v>
      </c>
      <c r="O580" s="11" t="str">
        <f t="shared" si="3"/>
        <v/>
      </c>
      <c r="P580" s="12">
        <f t="shared" si="4"/>
        <v>12993.1</v>
      </c>
    </row>
    <row r="581" ht="12.75" customHeight="1">
      <c r="A581" s="3" t="s">
        <v>906</v>
      </c>
      <c r="B581" s="3" t="s">
        <v>608</v>
      </c>
      <c r="C581" s="3" t="s">
        <v>76</v>
      </c>
      <c r="D581" s="3" t="s">
        <v>24</v>
      </c>
      <c r="E581" s="3" t="s">
        <v>58</v>
      </c>
      <c r="F581" s="3" t="s">
        <v>52</v>
      </c>
      <c r="G581" s="3" t="s">
        <v>13</v>
      </c>
      <c r="H581" s="3">
        <v>10533.0</v>
      </c>
      <c r="I581" s="3" t="s">
        <v>23</v>
      </c>
      <c r="J581" s="3">
        <v>0.2</v>
      </c>
      <c r="K581" s="3">
        <v>9000.0</v>
      </c>
      <c r="L581" s="3" t="s">
        <v>283</v>
      </c>
      <c r="M581" s="3" t="str">
        <f t="shared" si="1"/>
        <v>Target Achieved</v>
      </c>
      <c r="N581" s="10">
        <f t="shared" si="2"/>
        <v>0.528436019</v>
      </c>
      <c r="O581" s="11">
        <f t="shared" si="3"/>
        <v>0.2</v>
      </c>
      <c r="P581" s="12">
        <f t="shared" si="4"/>
        <v>8426.4</v>
      </c>
    </row>
    <row r="582" ht="12.75" customHeight="1">
      <c r="A582" s="3" t="s">
        <v>907</v>
      </c>
      <c r="B582" s="3" t="s">
        <v>545</v>
      </c>
      <c r="C582" s="3" t="s">
        <v>18</v>
      </c>
      <c r="D582" s="3" t="s">
        <v>16</v>
      </c>
      <c r="E582" s="3" t="s">
        <v>58</v>
      </c>
      <c r="F582" s="3" t="s">
        <v>21</v>
      </c>
      <c r="G582" s="3" t="s">
        <v>13</v>
      </c>
      <c r="H582" s="3">
        <v>12259.0</v>
      </c>
      <c r="I582" s="3" t="s">
        <v>47</v>
      </c>
      <c r="J582" s="3">
        <v>0.3</v>
      </c>
      <c r="K582" s="3">
        <v>14000.0</v>
      </c>
      <c r="L582" s="15" t="s">
        <v>313</v>
      </c>
      <c r="M582" s="3" t="str">
        <f t="shared" si="1"/>
        <v>Below Target</v>
      </c>
      <c r="N582" s="10">
        <f t="shared" si="2"/>
        <v>0.5273159145</v>
      </c>
      <c r="O582" s="11">
        <f t="shared" si="3"/>
        <v>0.3</v>
      </c>
      <c r="P582" s="12">
        <f t="shared" si="4"/>
        <v>8581.3</v>
      </c>
    </row>
    <row r="583" ht="12.75" customHeight="1">
      <c r="A583" s="3" t="s">
        <v>908</v>
      </c>
      <c r="B583" s="3" t="s">
        <v>424</v>
      </c>
      <c r="C583" s="3" t="s">
        <v>57</v>
      </c>
      <c r="D583" s="3" t="s">
        <v>19</v>
      </c>
      <c r="E583" s="3" t="s">
        <v>20</v>
      </c>
      <c r="F583" s="3" t="s">
        <v>21</v>
      </c>
      <c r="G583" s="3" t="s">
        <v>12</v>
      </c>
      <c r="H583" s="3">
        <v>13142.0</v>
      </c>
      <c r="I583" s="3" t="s">
        <v>42</v>
      </c>
      <c r="K583" s="3">
        <v>13000.0</v>
      </c>
      <c r="L583" s="15" t="s">
        <v>234</v>
      </c>
      <c r="M583" s="3" t="str">
        <f t="shared" si="1"/>
        <v>Target Achieved</v>
      </c>
      <c r="N583" s="10">
        <f t="shared" si="2"/>
        <v>0.5285714286</v>
      </c>
      <c r="O583" s="11" t="str">
        <f t="shared" si="3"/>
        <v/>
      </c>
      <c r="P583" s="12">
        <f t="shared" si="4"/>
        <v>11170.7</v>
      </c>
    </row>
    <row r="584" ht="12.75" customHeight="1">
      <c r="A584" s="3" t="s">
        <v>909</v>
      </c>
      <c r="B584" s="3" t="s">
        <v>366</v>
      </c>
      <c r="C584" s="3" t="s">
        <v>57</v>
      </c>
      <c r="D584" s="3" t="s">
        <v>19</v>
      </c>
      <c r="E584" s="3" t="s">
        <v>58</v>
      </c>
      <c r="F584" s="3" t="s">
        <v>21</v>
      </c>
      <c r="G584" s="3" t="s">
        <v>12</v>
      </c>
      <c r="H584" s="3">
        <v>13770.0</v>
      </c>
      <c r="K584" s="3">
        <v>13000.0</v>
      </c>
      <c r="L584" s="15" t="s">
        <v>114</v>
      </c>
      <c r="M584" s="3" t="str">
        <f t="shared" si="1"/>
        <v>Target Achieved</v>
      </c>
      <c r="N584" s="10">
        <f t="shared" si="2"/>
        <v>0.5274463007</v>
      </c>
      <c r="O584" s="11">
        <f t="shared" si="3"/>
        <v>0</v>
      </c>
      <c r="P584" s="12">
        <f t="shared" si="4"/>
        <v>13770</v>
      </c>
    </row>
    <row r="585" ht="12.75" customHeight="1">
      <c r="A585" s="3" t="s">
        <v>910</v>
      </c>
      <c r="B585" s="3" t="s">
        <v>415</v>
      </c>
      <c r="C585" s="3" t="s">
        <v>18</v>
      </c>
      <c r="D585" s="3" t="s">
        <v>16</v>
      </c>
      <c r="E585" s="3" t="s">
        <v>46</v>
      </c>
      <c r="F585" s="3" t="s">
        <v>52</v>
      </c>
      <c r="G585" s="3" t="s">
        <v>13</v>
      </c>
      <c r="H585" s="3">
        <v>14070.0</v>
      </c>
      <c r="K585" s="3">
        <v>14000.0</v>
      </c>
      <c r="L585" s="3" t="s">
        <v>77</v>
      </c>
      <c r="M585" s="3" t="str">
        <f t="shared" si="1"/>
        <v>Target Achieved</v>
      </c>
      <c r="N585" s="10">
        <f t="shared" si="2"/>
        <v>0.5263157895</v>
      </c>
      <c r="O585" s="11">
        <f t="shared" si="3"/>
        <v>0</v>
      </c>
      <c r="P585" s="12">
        <f t="shared" si="4"/>
        <v>14070</v>
      </c>
    </row>
    <row r="586" ht="12.75" customHeight="1">
      <c r="A586" s="3" t="s">
        <v>911</v>
      </c>
      <c r="B586" s="3" t="s">
        <v>852</v>
      </c>
      <c r="C586" s="3" t="s">
        <v>57</v>
      </c>
      <c r="D586" s="3" t="s">
        <v>19</v>
      </c>
      <c r="E586" s="3" t="s">
        <v>46</v>
      </c>
      <c r="F586" s="3" t="s">
        <v>21</v>
      </c>
      <c r="G586" s="3" t="s">
        <v>11</v>
      </c>
      <c r="H586" s="3">
        <v>11986.0</v>
      </c>
      <c r="I586" s="3" t="s">
        <v>47</v>
      </c>
      <c r="J586" s="3">
        <v>0.3</v>
      </c>
      <c r="K586" s="3">
        <v>13000.0</v>
      </c>
      <c r="L586" s="3" t="s">
        <v>73</v>
      </c>
      <c r="M586" s="3" t="str">
        <f t="shared" si="1"/>
        <v>Below Target</v>
      </c>
      <c r="N586" s="10">
        <f t="shared" si="2"/>
        <v>0.5251798561</v>
      </c>
      <c r="O586" s="11">
        <f t="shared" si="3"/>
        <v>0.3</v>
      </c>
      <c r="P586" s="12">
        <f t="shared" si="4"/>
        <v>8390.2</v>
      </c>
    </row>
    <row r="587" ht="12.75" customHeight="1">
      <c r="A587" s="3" t="s">
        <v>912</v>
      </c>
      <c r="B587" s="3" t="s">
        <v>213</v>
      </c>
      <c r="C587" s="3" t="s">
        <v>57</v>
      </c>
      <c r="D587" s="3" t="s">
        <v>19</v>
      </c>
      <c r="E587" s="3" t="s">
        <v>20</v>
      </c>
      <c r="F587" s="3" t="s">
        <v>52</v>
      </c>
      <c r="G587" s="3" t="s">
        <v>11</v>
      </c>
      <c r="H587" s="3">
        <v>12651.0</v>
      </c>
      <c r="I587" s="3" t="s">
        <v>23</v>
      </c>
      <c r="J587" s="3">
        <v>0.2</v>
      </c>
      <c r="K587" s="3">
        <v>13000.0</v>
      </c>
      <c r="L587" s="15" t="s">
        <v>123</v>
      </c>
      <c r="M587" s="3" t="str">
        <f t="shared" si="1"/>
        <v>Below Target</v>
      </c>
      <c r="N587" s="10">
        <f t="shared" si="2"/>
        <v>0.5264423077</v>
      </c>
      <c r="O587" s="11">
        <f t="shared" si="3"/>
        <v>0.2</v>
      </c>
      <c r="P587" s="12">
        <f t="shared" si="4"/>
        <v>10120.8</v>
      </c>
    </row>
    <row r="588" ht="12.75" customHeight="1">
      <c r="A588" s="3" t="s">
        <v>913</v>
      </c>
      <c r="B588" s="3" t="s">
        <v>290</v>
      </c>
      <c r="C588" s="3" t="s">
        <v>76</v>
      </c>
      <c r="D588" s="3" t="s">
        <v>24</v>
      </c>
      <c r="E588" s="3" t="s">
        <v>46</v>
      </c>
      <c r="F588" s="3" t="s">
        <v>21</v>
      </c>
      <c r="G588" s="3" t="s">
        <v>11</v>
      </c>
      <c r="H588" s="3">
        <v>8294.0</v>
      </c>
      <c r="I588" s="3" t="s">
        <v>37</v>
      </c>
      <c r="J588" s="3">
        <v>0.1</v>
      </c>
      <c r="K588" s="3">
        <v>9000.0</v>
      </c>
      <c r="L588" s="15" t="s">
        <v>177</v>
      </c>
      <c r="M588" s="3" t="str">
        <f t="shared" si="1"/>
        <v>Below Target</v>
      </c>
      <c r="N588" s="10">
        <f t="shared" si="2"/>
        <v>0.5277108434</v>
      </c>
      <c r="O588" s="11">
        <f t="shared" si="3"/>
        <v>0.1</v>
      </c>
      <c r="P588" s="12">
        <f t="shared" si="4"/>
        <v>7464.6</v>
      </c>
    </row>
    <row r="589" ht="12.75" customHeight="1">
      <c r="A589" s="3" t="s">
        <v>914</v>
      </c>
      <c r="B589" s="3" t="s">
        <v>865</v>
      </c>
      <c r="C589" s="3" t="s">
        <v>18</v>
      </c>
      <c r="D589" s="3" t="s">
        <v>16</v>
      </c>
      <c r="E589" s="3" t="s">
        <v>46</v>
      </c>
      <c r="F589" s="3" t="s">
        <v>21</v>
      </c>
      <c r="G589" s="3" t="s">
        <v>11</v>
      </c>
      <c r="H589" s="3">
        <v>12146.0</v>
      </c>
      <c r="I589" s="3" t="s">
        <v>42</v>
      </c>
      <c r="K589" s="3">
        <v>14000.0</v>
      </c>
      <c r="L589" s="15" t="s">
        <v>349</v>
      </c>
      <c r="M589" s="3" t="str">
        <f t="shared" si="1"/>
        <v>Below Target</v>
      </c>
      <c r="N589" s="10">
        <f t="shared" si="2"/>
        <v>0.5289855072</v>
      </c>
      <c r="O589" s="11" t="str">
        <f t="shared" si="3"/>
        <v/>
      </c>
      <c r="P589" s="12">
        <f t="shared" si="4"/>
        <v>10324.1</v>
      </c>
    </row>
    <row r="590" ht="12.75" customHeight="1">
      <c r="A590" s="3" t="s">
        <v>915</v>
      </c>
      <c r="B590" s="3" t="s">
        <v>168</v>
      </c>
      <c r="C590" s="3" t="s">
        <v>18</v>
      </c>
      <c r="D590" s="3" t="s">
        <v>16</v>
      </c>
      <c r="E590" s="3" t="s">
        <v>20</v>
      </c>
      <c r="F590" s="3" t="s">
        <v>52</v>
      </c>
      <c r="G590" s="3" t="s">
        <v>12</v>
      </c>
      <c r="H590" s="3">
        <v>13247.0</v>
      </c>
      <c r="I590" s="3" t="s">
        <v>42</v>
      </c>
      <c r="K590" s="3">
        <v>14000.0</v>
      </c>
      <c r="L590" s="15" t="s">
        <v>349</v>
      </c>
      <c r="M590" s="3" t="str">
        <f t="shared" si="1"/>
        <v>Below Target</v>
      </c>
      <c r="N590" s="10">
        <f t="shared" si="2"/>
        <v>0.5302663438</v>
      </c>
      <c r="O590" s="11" t="str">
        <f t="shared" si="3"/>
        <v/>
      </c>
      <c r="P590" s="12">
        <f t="shared" si="4"/>
        <v>11259.95</v>
      </c>
    </row>
    <row r="591" ht="12.75" customHeight="1">
      <c r="A591" s="3" t="s">
        <v>916</v>
      </c>
      <c r="B591" s="3" t="s">
        <v>917</v>
      </c>
      <c r="C591" s="3" t="s">
        <v>76</v>
      </c>
      <c r="D591" s="3" t="s">
        <v>24</v>
      </c>
      <c r="E591" s="3" t="s">
        <v>58</v>
      </c>
      <c r="F591" s="3" t="s">
        <v>21</v>
      </c>
      <c r="G591" s="3" t="s">
        <v>13</v>
      </c>
      <c r="H591" s="3">
        <v>10344.0</v>
      </c>
      <c r="I591" s="3" t="s">
        <v>23</v>
      </c>
      <c r="J591" s="3">
        <v>0.2</v>
      </c>
      <c r="K591" s="3">
        <v>9000.0</v>
      </c>
      <c r="L591" s="3" t="s">
        <v>77</v>
      </c>
      <c r="M591" s="3" t="str">
        <f t="shared" si="1"/>
        <v>Target Achieved</v>
      </c>
      <c r="N591" s="10">
        <f t="shared" si="2"/>
        <v>0.5315533981</v>
      </c>
      <c r="O591" s="11">
        <f t="shared" si="3"/>
        <v>0.2</v>
      </c>
      <c r="P591" s="12">
        <f t="shared" si="4"/>
        <v>8275.2</v>
      </c>
    </row>
    <row r="592" ht="12.75" customHeight="1">
      <c r="A592" s="3" t="s">
        <v>918</v>
      </c>
      <c r="B592" s="3" t="s">
        <v>240</v>
      </c>
      <c r="C592" s="3" t="s">
        <v>76</v>
      </c>
      <c r="D592" s="3" t="s">
        <v>24</v>
      </c>
      <c r="E592" s="3" t="s">
        <v>20</v>
      </c>
      <c r="F592" s="3" t="s">
        <v>52</v>
      </c>
      <c r="G592" s="3" t="s">
        <v>11</v>
      </c>
      <c r="H592" s="3">
        <v>9932.0</v>
      </c>
      <c r="K592" s="3">
        <v>9000.0</v>
      </c>
      <c r="L592" s="15" t="s">
        <v>147</v>
      </c>
      <c r="M592" s="3" t="str">
        <f t="shared" si="1"/>
        <v>Target Achieved</v>
      </c>
      <c r="N592" s="10">
        <f t="shared" si="2"/>
        <v>0.5304136253</v>
      </c>
      <c r="O592" s="11">
        <f t="shared" si="3"/>
        <v>0</v>
      </c>
      <c r="P592" s="12">
        <f t="shared" si="4"/>
        <v>9932</v>
      </c>
    </row>
    <row r="593" ht="12.75" customHeight="1">
      <c r="A593" s="3" t="s">
        <v>919</v>
      </c>
      <c r="B593" s="3" t="s">
        <v>253</v>
      </c>
      <c r="C593" s="3" t="s">
        <v>57</v>
      </c>
      <c r="D593" s="3" t="s">
        <v>19</v>
      </c>
      <c r="E593" s="3" t="s">
        <v>46</v>
      </c>
      <c r="F593" s="3" t="s">
        <v>21</v>
      </c>
      <c r="G593" s="3" t="s">
        <v>11</v>
      </c>
      <c r="H593" s="3">
        <v>14399.0</v>
      </c>
      <c r="I593" s="3" t="s">
        <v>47</v>
      </c>
      <c r="J593" s="3">
        <v>0.3</v>
      </c>
      <c r="K593" s="3">
        <v>13000.0</v>
      </c>
      <c r="L593" s="15" t="s">
        <v>349</v>
      </c>
      <c r="M593" s="3" t="str">
        <f t="shared" si="1"/>
        <v>Target Achieved</v>
      </c>
      <c r="N593" s="10">
        <f t="shared" si="2"/>
        <v>0.5292682927</v>
      </c>
      <c r="O593" s="11">
        <f t="shared" si="3"/>
        <v>0.3</v>
      </c>
      <c r="P593" s="12">
        <f t="shared" si="4"/>
        <v>10079.3</v>
      </c>
    </row>
    <row r="594" ht="12.75" customHeight="1">
      <c r="A594" s="3" t="s">
        <v>920</v>
      </c>
      <c r="B594" s="3" t="s">
        <v>274</v>
      </c>
      <c r="C594" s="3" t="s">
        <v>18</v>
      </c>
      <c r="D594" s="3" t="s">
        <v>16</v>
      </c>
      <c r="E594" s="3" t="s">
        <v>46</v>
      </c>
      <c r="F594" s="3" t="s">
        <v>41</v>
      </c>
      <c r="G594" s="3" t="s">
        <v>11</v>
      </c>
      <c r="H594" s="3">
        <v>12575.0</v>
      </c>
      <c r="K594" s="3">
        <v>14000.0</v>
      </c>
      <c r="L594" s="15" t="s">
        <v>234</v>
      </c>
      <c r="M594" s="3" t="str">
        <f t="shared" si="1"/>
        <v>Below Target</v>
      </c>
      <c r="N594" s="10">
        <f t="shared" si="2"/>
        <v>0.5281173594</v>
      </c>
      <c r="O594" s="11">
        <f t="shared" si="3"/>
        <v>0</v>
      </c>
      <c r="P594" s="12">
        <f t="shared" si="4"/>
        <v>12575</v>
      </c>
    </row>
    <row r="595" ht="12.75" customHeight="1">
      <c r="A595" s="3" t="s">
        <v>921</v>
      </c>
      <c r="B595" s="3" t="s">
        <v>154</v>
      </c>
      <c r="C595" s="3" t="s">
        <v>57</v>
      </c>
      <c r="D595" s="3" t="s">
        <v>19</v>
      </c>
      <c r="E595" s="3" t="s">
        <v>46</v>
      </c>
      <c r="F595" s="3" t="s">
        <v>41</v>
      </c>
      <c r="G595" s="3" t="s">
        <v>11</v>
      </c>
      <c r="H595" s="3">
        <v>11883.0</v>
      </c>
      <c r="K595" s="3">
        <v>13000.0</v>
      </c>
      <c r="L595" s="3" t="s">
        <v>333</v>
      </c>
      <c r="M595" s="3" t="str">
        <f t="shared" si="1"/>
        <v>Below Target</v>
      </c>
      <c r="N595" s="10">
        <f t="shared" si="2"/>
        <v>0.5294117647</v>
      </c>
      <c r="O595" s="11">
        <f t="shared" si="3"/>
        <v>0</v>
      </c>
      <c r="P595" s="12">
        <f t="shared" si="4"/>
        <v>11883</v>
      </c>
    </row>
    <row r="596" ht="12.75" customHeight="1">
      <c r="A596" s="3" t="s">
        <v>922</v>
      </c>
      <c r="B596" s="3" t="s">
        <v>388</v>
      </c>
      <c r="C596" s="3" t="s">
        <v>45</v>
      </c>
      <c r="D596" s="3" t="s">
        <v>22</v>
      </c>
      <c r="E596" s="3" t="s">
        <v>46</v>
      </c>
      <c r="F596" s="3" t="s">
        <v>21</v>
      </c>
      <c r="G596" s="3" t="s">
        <v>13</v>
      </c>
      <c r="H596" s="3">
        <v>18795.0</v>
      </c>
      <c r="I596" s="3" t="s">
        <v>42</v>
      </c>
      <c r="K596" s="3">
        <v>17000.0</v>
      </c>
      <c r="L596" s="15" t="s">
        <v>147</v>
      </c>
      <c r="M596" s="3" t="str">
        <f t="shared" si="1"/>
        <v>Target Achieved</v>
      </c>
      <c r="N596" s="10">
        <f t="shared" si="2"/>
        <v>0.5307125307</v>
      </c>
      <c r="O596" s="11" t="str">
        <f t="shared" si="3"/>
        <v/>
      </c>
      <c r="P596" s="12">
        <f t="shared" si="4"/>
        <v>15975.75</v>
      </c>
    </row>
    <row r="597" ht="12.75" customHeight="1">
      <c r="A597" s="3" t="s">
        <v>923</v>
      </c>
      <c r="B597" s="3" t="s">
        <v>392</v>
      </c>
      <c r="C597" s="3" t="s">
        <v>76</v>
      </c>
      <c r="D597" s="3" t="s">
        <v>24</v>
      </c>
      <c r="E597" s="3" t="s">
        <v>20</v>
      </c>
      <c r="F597" s="3" t="s">
        <v>52</v>
      </c>
      <c r="G597" s="3" t="s">
        <v>12</v>
      </c>
      <c r="H597" s="3">
        <v>7551.0</v>
      </c>
      <c r="K597" s="3">
        <v>9000.0</v>
      </c>
      <c r="L597" s="15" t="s">
        <v>308</v>
      </c>
      <c r="M597" s="3" t="str">
        <f t="shared" si="1"/>
        <v>Below Target</v>
      </c>
      <c r="N597" s="10">
        <f t="shared" si="2"/>
        <v>0.5295566502</v>
      </c>
      <c r="O597" s="11">
        <f t="shared" si="3"/>
        <v>0</v>
      </c>
      <c r="P597" s="12">
        <f t="shared" si="4"/>
        <v>7551</v>
      </c>
    </row>
    <row r="598" ht="12.75" customHeight="1">
      <c r="A598" s="3" t="s">
        <v>924</v>
      </c>
      <c r="B598" s="3" t="s">
        <v>648</v>
      </c>
      <c r="C598" s="3" t="s">
        <v>18</v>
      </c>
      <c r="D598" s="3" t="s">
        <v>16</v>
      </c>
      <c r="E598" s="3" t="s">
        <v>20</v>
      </c>
      <c r="F598" s="3" t="s">
        <v>21</v>
      </c>
      <c r="G598" s="3" t="s">
        <v>12</v>
      </c>
      <c r="H598" s="3">
        <v>13978.0</v>
      </c>
      <c r="I598" s="3" t="s">
        <v>42</v>
      </c>
      <c r="K598" s="3">
        <v>14000.0</v>
      </c>
      <c r="L598" s="3" t="s">
        <v>324</v>
      </c>
      <c r="M598" s="3" t="str">
        <f t="shared" si="1"/>
        <v>Below Target</v>
      </c>
      <c r="N598" s="10">
        <f t="shared" si="2"/>
        <v>0.5308641975</v>
      </c>
      <c r="O598" s="11" t="str">
        <f t="shared" si="3"/>
        <v/>
      </c>
      <c r="P598" s="12">
        <f t="shared" si="4"/>
        <v>11881.3</v>
      </c>
    </row>
    <row r="599" ht="12.75" customHeight="1">
      <c r="A599" s="3" t="s">
        <v>925</v>
      </c>
      <c r="B599" s="3" t="s">
        <v>157</v>
      </c>
      <c r="C599" s="3" t="s">
        <v>57</v>
      </c>
      <c r="D599" s="3" t="s">
        <v>19</v>
      </c>
      <c r="E599" s="3" t="s">
        <v>20</v>
      </c>
      <c r="F599" s="3" t="s">
        <v>41</v>
      </c>
      <c r="G599" s="3" t="s">
        <v>13</v>
      </c>
      <c r="H599" s="3">
        <v>12586.0</v>
      </c>
      <c r="I599" s="3" t="s">
        <v>42</v>
      </c>
      <c r="K599" s="3">
        <v>13000.0</v>
      </c>
      <c r="L599" s="15" t="s">
        <v>130</v>
      </c>
      <c r="M599" s="3" t="str">
        <f t="shared" si="1"/>
        <v>Below Target</v>
      </c>
      <c r="N599" s="10">
        <f t="shared" si="2"/>
        <v>0.5321782178</v>
      </c>
      <c r="O599" s="11" t="str">
        <f t="shared" si="3"/>
        <v/>
      </c>
      <c r="P599" s="12">
        <f t="shared" si="4"/>
        <v>10698.1</v>
      </c>
    </row>
    <row r="600" ht="12.75" customHeight="1">
      <c r="A600" s="3" t="s">
        <v>926</v>
      </c>
      <c r="B600" s="3" t="s">
        <v>927</v>
      </c>
      <c r="C600" s="3" t="s">
        <v>76</v>
      </c>
      <c r="D600" s="3" t="s">
        <v>24</v>
      </c>
      <c r="E600" s="3" t="s">
        <v>58</v>
      </c>
      <c r="F600" s="3" t="s">
        <v>52</v>
      </c>
      <c r="G600" s="3" t="s">
        <v>12</v>
      </c>
      <c r="H600" s="3">
        <v>10122.0</v>
      </c>
      <c r="I600" s="3" t="s">
        <v>23</v>
      </c>
      <c r="J600" s="3">
        <v>0.2</v>
      </c>
      <c r="K600" s="3">
        <v>9000.0</v>
      </c>
      <c r="L600" s="3" t="s">
        <v>73</v>
      </c>
      <c r="M600" s="3" t="str">
        <f t="shared" si="1"/>
        <v>Target Achieved</v>
      </c>
      <c r="N600" s="10">
        <f t="shared" si="2"/>
        <v>0.5334987593</v>
      </c>
      <c r="O600" s="11">
        <f t="shared" si="3"/>
        <v>0.2</v>
      </c>
      <c r="P600" s="12">
        <f t="shared" si="4"/>
        <v>8097.6</v>
      </c>
    </row>
    <row r="601" ht="12.75" customHeight="1">
      <c r="A601" s="3" t="s">
        <v>928</v>
      </c>
      <c r="B601" s="3" t="s">
        <v>574</v>
      </c>
      <c r="C601" s="3" t="s">
        <v>45</v>
      </c>
      <c r="D601" s="3" t="s">
        <v>22</v>
      </c>
      <c r="E601" s="3" t="s">
        <v>58</v>
      </c>
      <c r="F601" s="3" t="s">
        <v>41</v>
      </c>
      <c r="G601" s="3" t="s">
        <v>13</v>
      </c>
      <c r="H601" s="3">
        <v>16690.0</v>
      </c>
      <c r="I601" s="3" t="s">
        <v>42</v>
      </c>
      <c r="K601" s="3">
        <v>17000.0</v>
      </c>
      <c r="L601" s="3" t="s">
        <v>96</v>
      </c>
      <c r="M601" s="3" t="str">
        <f t="shared" si="1"/>
        <v>Below Target</v>
      </c>
      <c r="N601" s="10">
        <f t="shared" si="2"/>
        <v>0.5323383085</v>
      </c>
      <c r="O601" s="11" t="str">
        <f t="shared" si="3"/>
        <v/>
      </c>
      <c r="P601" s="12">
        <f t="shared" si="4"/>
        <v>14186.5</v>
      </c>
    </row>
    <row r="602" ht="12.75" customHeight="1">
      <c r="A602" s="3" t="s">
        <v>929</v>
      </c>
      <c r="B602" s="3" t="s">
        <v>343</v>
      </c>
      <c r="C602" s="3" t="s">
        <v>45</v>
      </c>
      <c r="D602" s="3" t="s">
        <v>22</v>
      </c>
      <c r="E602" s="3" t="s">
        <v>20</v>
      </c>
      <c r="F602" s="3" t="s">
        <v>52</v>
      </c>
      <c r="G602" s="3" t="s">
        <v>11</v>
      </c>
      <c r="H602" s="3">
        <v>17915.0</v>
      </c>
      <c r="I602" s="3" t="s">
        <v>42</v>
      </c>
      <c r="K602" s="3">
        <v>17000.0</v>
      </c>
      <c r="L602" s="15" t="s">
        <v>312</v>
      </c>
      <c r="M602" s="3" t="str">
        <f t="shared" si="1"/>
        <v>Target Achieved</v>
      </c>
      <c r="N602" s="10">
        <f t="shared" si="2"/>
        <v>0.5336658354</v>
      </c>
      <c r="O602" s="11" t="str">
        <f t="shared" si="3"/>
        <v/>
      </c>
      <c r="P602" s="12">
        <f t="shared" si="4"/>
        <v>15227.75</v>
      </c>
    </row>
    <row r="603" ht="12.75" customHeight="1">
      <c r="A603" s="3" t="s">
        <v>930</v>
      </c>
      <c r="B603" s="3" t="s">
        <v>125</v>
      </c>
      <c r="C603" s="3" t="s">
        <v>57</v>
      </c>
      <c r="D603" s="3" t="s">
        <v>19</v>
      </c>
      <c r="E603" s="3" t="s">
        <v>20</v>
      </c>
      <c r="F603" s="3" t="s">
        <v>52</v>
      </c>
      <c r="G603" s="3" t="s">
        <v>11</v>
      </c>
      <c r="H603" s="3">
        <v>13812.0</v>
      </c>
      <c r="I603" s="3" t="s">
        <v>47</v>
      </c>
      <c r="J603" s="3">
        <v>0.3</v>
      </c>
      <c r="K603" s="3">
        <v>13000.0</v>
      </c>
      <c r="L603" s="3" t="s">
        <v>340</v>
      </c>
      <c r="M603" s="3" t="str">
        <f t="shared" si="1"/>
        <v>Target Achieved</v>
      </c>
      <c r="N603" s="10">
        <f t="shared" si="2"/>
        <v>0.5325</v>
      </c>
      <c r="O603" s="11">
        <f t="shared" si="3"/>
        <v>0.3</v>
      </c>
      <c r="P603" s="12">
        <f t="shared" si="4"/>
        <v>9668.4</v>
      </c>
    </row>
    <row r="604" ht="12.75" customHeight="1">
      <c r="A604" s="3" t="s">
        <v>931</v>
      </c>
      <c r="B604" s="3" t="s">
        <v>522</v>
      </c>
      <c r="C604" s="3" t="s">
        <v>57</v>
      </c>
      <c r="D604" s="3" t="s">
        <v>19</v>
      </c>
      <c r="E604" s="3" t="s">
        <v>20</v>
      </c>
      <c r="F604" s="3" t="s">
        <v>52</v>
      </c>
      <c r="G604" s="3" t="s">
        <v>12</v>
      </c>
      <c r="H604" s="3">
        <v>13608.0</v>
      </c>
      <c r="I604" s="3" t="s">
        <v>47</v>
      </c>
      <c r="J604" s="3">
        <v>0.3</v>
      </c>
      <c r="K604" s="3">
        <v>13000.0</v>
      </c>
      <c r="L604" s="3" t="s">
        <v>83</v>
      </c>
      <c r="M604" s="3" t="str">
        <f t="shared" si="1"/>
        <v>Target Achieved</v>
      </c>
      <c r="N604" s="10">
        <f t="shared" si="2"/>
        <v>0.5313283208</v>
      </c>
      <c r="O604" s="11">
        <f t="shared" si="3"/>
        <v>0.3</v>
      </c>
      <c r="P604" s="12">
        <f t="shared" si="4"/>
        <v>9525.6</v>
      </c>
    </row>
    <row r="605" ht="12.75" customHeight="1">
      <c r="A605" s="3" t="s">
        <v>932</v>
      </c>
      <c r="B605" s="3" t="s">
        <v>253</v>
      </c>
      <c r="C605" s="3" t="s">
        <v>45</v>
      </c>
      <c r="D605" s="3" t="s">
        <v>22</v>
      </c>
      <c r="E605" s="3" t="s">
        <v>20</v>
      </c>
      <c r="F605" s="3" t="s">
        <v>21</v>
      </c>
      <c r="G605" s="3" t="s">
        <v>12</v>
      </c>
      <c r="H605" s="3">
        <v>17337.0</v>
      </c>
      <c r="K605" s="3">
        <v>17000.0</v>
      </c>
      <c r="L605" s="3" t="s">
        <v>238</v>
      </c>
      <c r="M605" s="3" t="str">
        <f t="shared" si="1"/>
        <v>Target Achieved</v>
      </c>
      <c r="N605" s="10">
        <f t="shared" si="2"/>
        <v>0.5301507538</v>
      </c>
      <c r="O605" s="11">
        <f t="shared" si="3"/>
        <v>0</v>
      </c>
      <c r="P605" s="12">
        <f t="shared" si="4"/>
        <v>17337</v>
      </c>
    </row>
    <row r="606" ht="12.75" customHeight="1">
      <c r="A606" s="3" t="s">
        <v>933</v>
      </c>
      <c r="B606" s="3" t="s">
        <v>471</v>
      </c>
      <c r="C606" s="3" t="s">
        <v>45</v>
      </c>
      <c r="D606" s="3" t="s">
        <v>22</v>
      </c>
      <c r="E606" s="3" t="s">
        <v>58</v>
      </c>
      <c r="F606" s="3" t="s">
        <v>41</v>
      </c>
      <c r="G606" s="3" t="s">
        <v>12</v>
      </c>
      <c r="H606" s="3">
        <v>15436.0</v>
      </c>
      <c r="I606" s="3" t="s">
        <v>37</v>
      </c>
      <c r="J606" s="3">
        <v>0.1</v>
      </c>
      <c r="K606" s="3">
        <v>17000.0</v>
      </c>
      <c r="L606" s="3" t="s">
        <v>88</v>
      </c>
      <c r="M606" s="3" t="str">
        <f t="shared" si="1"/>
        <v>Below Target</v>
      </c>
      <c r="N606" s="10">
        <f t="shared" si="2"/>
        <v>0.5289672544</v>
      </c>
      <c r="O606" s="11">
        <f t="shared" si="3"/>
        <v>0.1</v>
      </c>
      <c r="P606" s="12">
        <f t="shared" si="4"/>
        <v>13892.4</v>
      </c>
    </row>
    <row r="607" ht="12.75" customHeight="1">
      <c r="A607" s="3" t="s">
        <v>934</v>
      </c>
      <c r="B607" s="3" t="s">
        <v>657</v>
      </c>
      <c r="C607" s="3" t="s">
        <v>18</v>
      </c>
      <c r="D607" s="3" t="s">
        <v>16</v>
      </c>
      <c r="E607" s="3" t="s">
        <v>46</v>
      </c>
      <c r="F607" s="3" t="s">
        <v>21</v>
      </c>
      <c r="G607" s="3" t="s">
        <v>13</v>
      </c>
      <c r="H607" s="3">
        <v>13173.0</v>
      </c>
      <c r="I607" s="3" t="s">
        <v>47</v>
      </c>
      <c r="J607" s="3">
        <v>0.3</v>
      </c>
      <c r="K607" s="3">
        <v>14000.0</v>
      </c>
      <c r="L607" s="15" t="s">
        <v>114</v>
      </c>
      <c r="M607" s="3" t="str">
        <f t="shared" si="1"/>
        <v>Below Target</v>
      </c>
      <c r="N607" s="10">
        <f t="shared" si="2"/>
        <v>0.5303030303</v>
      </c>
      <c r="O607" s="11">
        <f t="shared" si="3"/>
        <v>0.3</v>
      </c>
      <c r="P607" s="12">
        <f t="shared" si="4"/>
        <v>9221.1</v>
      </c>
    </row>
    <row r="608" ht="12.75" customHeight="1">
      <c r="A608" s="3" t="s">
        <v>935</v>
      </c>
      <c r="B608" s="3" t="s">
        <v>776</v>
      </c>
      <c r="C608" s="3" t="s">
        <v>45</v>
      </c>
      <c r="D608" s="3" t="s">
        <v>22</v>
      </c>
      <c r="E608" s="3" t="s">
        <v>46</v>
      </c>
      <c r="F608" s="3" t="s">
        <v>52</v>
      </c>
      <c r="G608" s="3" t="s">
        <v>13</v>
      </c>
      <c r="H608" s="3">
        <v>16469.0</v>
      </c>
      <c r="K608" s="3">
        <v>17000.0</v>
      </c>
      <c r="L608" s="15" t="s">
        <v>234</v>
      </c>
      <c r="M608" s="3" t="str">
        <f t="shared" si="1"/>
        <v>Below Target</v>
      </c>
      <c r="N608" s="10">
        <f t="shared" si="2"/>
        <v>0.5316455696</v>
      </c>
      <c r="O608" s="11">
        <f t="shared" si="3"/>
        <v>0</v>
      </c>
      <c r="P608" s="12">
        <f t="shared" si="4"/>
        <v>16469</v>
      </c>
    </row>
    <row r="609" ht="12.75" customHeight="1">
      <c r="A609" s="3" t="s">
        <v>936</v>
      </c>
      <c r="B609" s="3" t="s">
        <v>937</v>
      </c>
      <c r="C609" s="3" t="s">
        <v>57</v>
      </c>
      <c r="D609" s="3" t="s">
        <v>19</v>
      </c>
      <c r="E609" s="3" t="s">
        <v>20</v>
      </c>
      <c r="F609" s="3" t="s">
        <v>52</v>
      </c>
      <c r="G609" s="3" t="s">
        <v>12</v>
      </c>
      <c r="H609" s="3">
        <v>12592.0</v>
      </c>
      <c r="I609" s="3" t="s">
        <v>23</v>
      </c>
      <c r="J609" s="3">
        <v>0.2</v>
      </c>
      <c r="K609" s="3">
        <v>13000.0</v>
      </c>
      <c r="L609" s="15" t="s">
        <v>155</v>
      </c>
      <c r="M609" s="3" t="str">
        <f t="shared" si="1"/>
        <v>Below Target</v>
      </c>
      <c r="N609" s="10">
        <f t="shared" si="2"/>
        <v>0.5329949239</v>
      </c>
      <c r="O609" s="11">
        <f t="shared" si="3"/>
        <v>0.2</v>
      </c>
      <c r="P609" s="12">
        <f t="shared" si="4"/>
        <v>10073.6</v>
      </c>
    </row>
    <row r="610" ht="12.75" customHeight="1">
      <c r="A610" s="3" t="s">
        <v>938</v>
      </c>
      <c r="B610" s="3" t="s">
        <v>67</v>
      </c>
      <c r="C610" s="3" t="s">
        <v>45</v>
      </c>
      <c r="D610" s="3" t="s">
        <v>22</v>
      </c>
      <c r="E610" s="3" t="s">
        <v>20</v>
      </c>
      <c r="F610" s="3" t="s">
        <v>52</v>
      </c>
      <c r="G610" s="3" t="s">
        <v>13</v>
      </c>
      <c r="H610" s="3">
        <v>18794.0</v>
      </c>
      <c r="K610" s="3">
        <v>17000.0</v>
      </c>
      <c r="L610" s="3" t="s">
        <v>88</v>
      </c>
      <c r="M610" s="3" t="str">
        <f t="shared" si="1"/>
        <v>Target Achieved</v>
      </c>
      <c r="N610" s="10">
        <f t="shared" si="2"/>
        <v>0.534351145</v>
      </c>
      <c r="O610" s="11">
        <f t="shared" si="3"/>
        <v>0</v>
      </c>
      <c r="P610" s="12">
        <f t="shared" si="4"/>
        <v>18794</v>
      </c>
    </row>
    <row r="611" ht="12.75" customHeight="1">
      <c r="A611" s="3" t="s">
        <v>939</v>
      </c>
      <c r="B611" s="3" t="s">
        <v>197</v>
      </c>
      <c r="C611" s="3" t="s">
        <v>45</v>
      </c>
      <c r="D611" s="3" t="s">
        <v>22</v>
      </c>
      <c r="E611" s="3" t="s">
        <v>20</v>
      </c>
      <c r="F611" s="3" t="s">
        <v>41</v>
      </c>
      <c r="G611" s="3" t="s">
        <v>13</v>
      </c>
      <c r="H611" s="3">
        <v>18046.0</v>
      </c>
      <c r="I611" s="3" t="s">
        <v>47</v>
      </c>
      <c r="J611" s="3">
        <v>0.3</v>
      </c>
      <c r="K611" s="3">
        <v>17000.0</v>
      </c>
      <c r="L611" s="3" t="s">
        <v>164</v>
      </c>
      <c r="M611" s="3" t="str">
        <f t="shared" si="1"/>
        <v>Target Achieved</v>
      </c>
      <c r="N611" s="10">
        <f t="shared" si="2"/>
        <v>0.5331632653</v>
      </c>
      <c r="O611" s="11">
        <f t="shared" si="3"/>
        <v>0.3</v>
      </c>
      <c r="P611" s="12">
        <f t="shared" si="4"/>
        <v>12632.2</v>
      </c>
    </row>
    <row r="612" ht="12.75" customHeight="1">
      <c r="A612" s="3" t="s">
        <v>940</v>
      </c>
      <c r="B612" s="3" t="s">
        <v>937</v>
      </c>
      <c r="C612" s="3" t="s">
        <v>76</v>
      </c>
      <c r="D612" s="3" t="s">
        <v>24</v>
      </c>
      <c r="E612" s="3" t="s">
        <v>46</v>
      </c>
      <c r="F612" s="3" t="s">
        <v>52</v>
      </c>
      <c r="G612" s="3" t="s">
        <v>12</v>
      </c>
      <c r="H612" s="3">
        <v>9906.0</v>
      </c>
      <c r="I612" s="3" t="s">
        <v>47</v>
      </c>
      <c r="J612" s="3">
        <v>0.3</v>
      </c>
      <c r="K612" s="3">
        <v>9000.0</v>
      </c>
      <c r="L612" s="3" t="s">
        <v>323</v>
      </c>
      <c r="M612" s="3" t="str">
        <f t="shared" si="1"/>
        <v>Target Achieved</v>
      </c>
      <c r="N612" s="10">
        <f t="shared" si="2"/>
        <v>0.5319693095</v>
      </c>
      <c r="O612" s="11">
        <f t="shared" si="3"/>
        <v>0.3</v>
      </c>
      <c r="P612" s="12">
        <f t="shared" si="4"/>
        <v>6934.2</v>
      </c>
    </row>
    <row r="613" ht="12.75" customHeight="1">
      <c r="A613" s="3" t="s">
        <v>941</v>
      </c>
      <c r="B613" s="3" t="s">
        <v>113</v>
      </c>
      <c r="C613" s="3" t="s">
        <v>57</v>
      </c>
      <c r="D613" s="3" t="s">
        <v>19</v>
      </c>
      <c r="E613" s="3" t="s">
        <v>20</v>
      </c>
      <c r="F613" s="3" t="s">
        <v>41</v>
      </c>
      <c r="G613" s="3" t="s">
        <v>11</v>
      </c>
      <c r="H613" s="3">
        <v>12838.0</v>
      </c>
      <c r="I613" s="3" t="s">
        <v>23</v>
      </c>
      <c r="J613" s="3">
        <v>0.2</v>
      </c>
      <c r="K613" s="3">
        <v>13000.0</v>
      </c>
      <c r="L613" s="3" t="s">
        <v>238</v>
      </c>
      <c r="M613" s="3" t="str">
        <f t="shared" si="1"/>
        <v>Below Target</v>
      </c>
      <c r="N613" s="10">
        <f t="shared" si="2"/>
        <v>0.5307692308</v>
      </c>
      <c r="O613" s="11">
        <f t="shared" si="3"/>
        <v>0.2</v>
      </c>
      <c r="P613" s="12">
        <f t="shared" si="4"/>
        <v>10270.4</v>
      </c>
    </row>
    <row r="614" ht="12.75" customHeight="1">
      <c r="A614" s="3" t="s">
        <v>942</v>
      </c>
      <c r="B614" s="3" t="s">
        <v>943</v>
      </c>
      <c r="C614" s="3" t="s">
        <v>57</v>
      </c>
      <c r="D614" s="3" t="s">
        <v>19</v>
      </c>
      <c r="E614" s="3" t="s">
        <v>20</v>
      </c>
      <c r="F614" s="3" t="s">
        <v>52</v>
      </c>
      <c r="G614" s="3" t="s">
        <v>13</v>
      </c>
      <c r="H614" s="3">
        <v>12545.0</v>
      </c>
      <c r="I614" s="3" t="s">
        <v>37</v>
      </c>
      <c r="J614" s="3">
        <v>0.1</v>
      </c>
      <c r="K614" s="3">
        <v>13000.0</v>
      </c>
      <c r="L614" s="3" t="s">
        <v>117</v>
      </c>
      <c r="M614" s="3" t="str">
        <f t="shared" si="1"/>
        <v>Below Target</v>
      </c>
      <c r="N614" s="10">
        <f t="shared" si="2"/>
        <v>0.5321336761</v>
      </c>
      <c r="O614" s="11">
        <f t="shared" si="3"/>
        <v>0.1</v>
      </c>
      <c r="P614" s="12">
        <f t="shared" si="4"/>
        <v>11290.5</v>
      </c>
    </row>
    <row r="615" ht="12.75" customHeight="1">
      <c r="A615" s="3" t="s">
        <v>944</v>
      </c>
      <c r="B615" s="3" t="s">
        <v>403</v>
      </c>
      <c r="C615" s="3" t="s">
        <v>45</v>
      </c>
      <c r="D615" s="3" t="s">
        <v>22</v>
      </c>
      <c r="E615" s="3" t="s">
        <v>46</v>
      </c>
      <c r="F615" s="3" t="s">
        <v>41</v>
      </c>
      <c r="G615" s="3" t="s">
        <v>12</v>
      </c>
      <c r="H615" s="3">
        <v>18465.0</v>
      </c>
      <c r="I615" s="3" t="s">
        <v>47</v>
      </c>
      <c r="J615" s="3">
        <v>0.3</v>
      </c>
      <c r="K615" s="3">
        <v>17000.0</v>
      </c>
      <c r="L615" s="15" t="s">
        <v>308</v>
      </c>
      <c r="M615" s="3" t="str">
        <f t="shared" si="1"/>
        <v>Target Achieved</v>
      </c>
      <c r="N615" s="10">
        <f t="shared" si="2"/>
        <v>0.5335051546</v>
      </c>
      <c r="O615" s="11">
        <f t="shared" si="3"/>
        <v>0.3</v>
      </c>
      <c r="P615" s="12">
        <f t="shared" si="4"/>
        <v>12925.5</v>
      </c>
    </row>
    <row r="616" ht="12.75" customHeight="1">
      <c r="A616" s="3" t="s">
        <v>945</v>
      </c>
      <c r="B616" s="3" t="s">
        <v>902</v>
      </c>
      <c r="C616" s="3" t="s">
        <v>57</v>
      </c>
      <c r="D616" s="3" t="s">
        <v>19</v>
      </c>
      <c r="E616" s="3" t="s">
        <v>46</v>
      </c>
      <c r="F616" s="3" t="s">
        <v>41</v>
      </c>
      <c r="G616" s="3" t="s">
        <v>11</v>
      </c>
      <c r="H616" s="3">
        <v>13444.0</v>
      </c>
      <c r="I616" s="3" t="s">
        <v>37</v>
      </c>
      <c r="J616" s="3">
        <v>0.1</v>
      </c>
      <c r="K616" s="3">
        <v>13000.0</v>
      </c>
      <c r="L616" s="3" t="s">
        <v>324</v>
      </c>
      <c r="M616" s="3" t="str">
        <f t="shared" si="1"/>
        <v>Target Achieved</v>
      </c>
      <c r="N616" s="10">
        <f t="shared" si="2"/>
        <v>0.5322997416</v>
      </c>
      <c r="O616" s="11">
        <f t="shared" si="3"/>
        <v>0.1</v>
      </c>
      <c r="P616" s="12">
        <f t="shared" si="4"/>
        <v>12099.6</v>
      </c>
    </row>
    <row r="617" ht="12.75" customHeight="1">
      <c r="A617" s="3" t="s">
        <v>946</v>
      </c>
      <c r="B617" s="3" t="s">
        <v>62</v>
      </c>
      <c r="C617" s="3" t="s">
        <v>45</v>
      </c>
      <c r="D617" s="3" t="s">
        <v>22</v>
      </c>
      <c r="E617" s="3" t="s">
        <v>58</v>
      </c>
      <c r="F617" s="3" t="s">
        <v>52</v>
      </c>
      <c r="G617" s="3" t="s">
        <v>12</v>
      </c>
      <c r="H617" s="3">
        <v>16466.0</v>
      </c>
      <c r="I617" s="3" t="s">
        <v>37</v>
      </c>
      <c r="J617" s="3">
        <v>0.1</v>
      </c>
      <c r="K617" s="3">
        <v>17000.0</v>
      </c>
      <c r="L617" s="3" t="s">
        <v>328</v>
      </c>
      <c r="M617" s="3" t="str">
        <f t="shared" si="1"/>
        <v>Below Target</v>
      </c>
      <c r="N617" s="10">
        <f t="shared" si="2"/>
        <v>0.5310880829</v>
      </c>
      <c r="O617" s="11">
        <f t="shared" si="3"/>
        <v>0.1</v>
      </c>
      <c r="P617" s="12">
        <f t="shared" si="4"/>
        <v>14819.4</v>
      </c>
    </row>
    <row r="618" ht="12.75" customHeight="1">
      <c r="A618" s="3" t="s">
        <v>947</v>
      </c>
      <c r="B618" s="3" t="s">
        <v>677</v>
      </c>
      <c r="C618" s="3" t="s">
        <v>57</v>
      </c>
      <c r="D618" s="3" t="s">
        <v>19</v>
      </c>
      <c r="E618" s="3" t="s">
        <v>46</v>
      </c>
      <c r="F618" s="3" t="s">
        <v>52</v>
      </c>
      <c r="G618" s="3" t="s">
        <v>13</v>
      </c>
      <c r="H618" s="3">
        <v>14220.0</v>
      </c>
      <c r="I618" s="3" t="s">
        <v>42</v>
      </c>
      <c r="K618" s="3">
        <v>13000.0</v>
      </c>
      <c r="L618" s="15" t="s">
        <v>103</v>
      </c>
      <c r="M618" s="3" t="str">
        <f t="shared" si="1"/>
        <v>Target Achieved</v>
      </c>
      <c r="N618" s="10">
        <f t="shared" si="2"/>
        <v>0.5324675325</v>
      </c>
      <c r="O618" s="11" t="str">
        <f t="shared" si="3"/>
        <v/>
      </c>
      <c r="P618" s="12">
        <f t="shared" si="4"/>
        <v>12087</v>
      </c>
    </row>
    <row r="619" ht="12.75" customHeight="1">
      <c r="A619" s="3" t="s">
        <v>948</v>
      </c>
      <c r="B619" s="3" t="s">
        <v>612</v>
      </c>
      <c r="C619" s="3" t="s">
        <v>76</v>
      </c>
      <c r="D619" s="3" t="s">
        <v>24</v>
      </c>
      <c r="E619" s="3" t="s">
        <v>46</v>
      </c>
      <c r="F619" s="3" t="s">
        <v>21</v>
      </c>
      <c r="G619" s="3" t="s">
        <v>13</v>
      </c>
      <c r="H619" s="3">
        <v>10618.0</v>
      </c>
      <c r="I619" s="3" t="s">
        <v>23</v>
      </c>
      <c r="J619" s="3">
        <v>0.2</v>
      </c>
      <c r="K619" s="3">
        <v>9000.0</v>
      </c>
      <c r="L619" s="15" t="s">
        <v>317</v>
      </c>
      <c r="M619" s="3" t="str">
        <f t="shared" si="1"/>
        <v>Target Achieved</v>
      </c>
      <c r="N619" s="10">
        <f t="shared" si="2"/>
        <v>0.53125</v>
      </c>
      <c r="O619" s="11">
        <f t="shared" si="3"/>
        <v>0.2</v>
      </c>
      <c r="P619" s="12">
        <f t="shared" si="4"/>
        <v>8494.4</v>
      </c>
    </row>
    <row r="620" ht="12.75" customHeight="1">
      <c r="A620" s="3" t="s">
        <v>949</v>
      </c>
      <c r="B620" s="3" t="s">
        <v>374</v>
      </c>
      <c r="C620" s="3" t="s">
        <v>45</v>
      </c>
      <c r="D620" s="3" t="s">
        <v>22</v>
      </c>
      <c r="E620" s="3" t="s">
        <v>58</v>
      </c>
      <c r="F620" s="3" t="s">
        <v>41</v>
      </c>
      <c r="G620" s="3" t="s">
        <v>12</v>
      </c>
      <c r="H620" s="3">
        <v>17172.0</v>
      </c>
      <c r="K620" s="3">
        <v>17000.0</v>
      </c>
      <c r="L620" s="15" t="s">
        <v>349</v>
      </c>
      <c r="M620" s="3" t="str">
        <f t="shared" si="1"/>
        <v>Target Achieved</v>
      </c>
      <c r="N620" s="10">
        <f t="shared" si="2"/>
        <v>0.5300261097</v>
      </c>
      <c r="O620" s="11">
        <f t="shared" si="3"/>
        <v>0</v>
      </c>
      <c r="P620" s="12">
        <f t="shared" si="4"/>
        <v>17172</v>
      </c>
    </row>
    <row r="621" ht="12.75" customHeight="1">
      <c r="A621" s="3" t="s">
        <v>950</v>
      </c>
      <c r="B621" s="3" t="s">
        <v>493</v>
      </c>
      <c r="C621" s="3" t="s">
        <v>18</v>
      </c>
      <c r="D621" s="3" t="s">
        <v>16</v>
      </c>
      <c r="E621" s="3" t="s">
        <v>46</v>
      </c>
      <c r="F621" s="3" t="s">
        <v>52</v>
      </c>
      <c r="G621" s="3" t="s">
        <v>11</v>
      </c>
      <c r="H621" s="3">
        <v>13825.0</v>
      </c>
      <c r="I621" s="3" t="s">
        <v>23</v>
      </c>
      <c r="J621" s="3">
        <v>0.2</v>
      </c>
      <c r="K621" s="3">
        <v>14000.0</v>
      </c>
      <c r="L621" s="3" t="s">
        <v>338</v>
      </c>
      <c r="M621" s="3" t="str">
        <f t="shared" si="1"/>
        <v>Below Target</v>
      </c>
      <c r="N621" s="10">
        <f t="shared" si="2"/>
        <v>0.5287958115</v>
      </c>
      <c r="O621" s="11">
        <f t="shared" si="3"/>
        <v>0.2</v>
      </c>
      <c r="P621" s="12">
        <f t="shared" si="4"/>
        <v>11060</v>
      </c>
    </row>
    <row r="622" ht="12.75" customHeight="1">
      <c r="A622" s="3" t="s">
        <v>951</v>
      </c>
      <c r="B622" s="3" t="s">
        <v>207</v>
      </c>
      <c r="C622" s="3" t="s">
        <v>57</v>
      </c>
      <c r="D622" s="3" t="s">
        <v>19</v>
      </c>
      <c r="E622" s="3" t="s">
        <v>46</v>
      </c>
      <c r="F622" s="3" t="s">
        <v>52</v>
      </c>
      <c r="G622" s="3" t="s">
        <v>11</v>
      </c>
      <c r="H622" s="3">
        <v>12562.0</v>
      </c>
      <c r="I622" s="3" t="s">
        <v>37</v>
      </c>
      <c r="J622" s="3">
        <v>0.1</v>
      </c>
      <c r="K622" s="3">
        <v>13000.0</v>
      </c>
      <c r="L622" s="3" t="s">
        <v>88</v>
      </c>
      <c r="M622" s="3" t="str">
        <f t="shared" si="1"/>
        <v>Below Target</v>
      </c>
      <c r="N622" s="10">
        <f t="shared" si="2"/>
        <v>0.530183727</v>
      </c>
      <c r="O622" s="11">
        <f t="shared" si="3"/>
        <v>0.1</v>
      </c>
      <c r="P622" s="12">
        <f t="shared" si="4"/>
        <v>11305.8</v>
      </c>
    </row>
    <row r="623" ht="12.75" customHeight="1">
      <c r="A623" s="3" t="s">
        <v>952</v>
      </c>
      <c r="B623" s="3" t="s">
        <v>403</v>
      </c>
      <c r="C623" s="3" t="s">
        <v>45</v>
      </c>
      <c r="D623" s="3" t="s">
        <v>22</v>
      </c>
      <c r="E623" s="3" t="s">
        <v>46</v>
      </c>
      <c r="F623" s="3" t="s">
        <v>52</v>
      </c>
      <c r="G623" s="3" t="s">
        <v>11</v>
      </c>
      <c r="H623" s="3">
        <v>17106.0</v>
      </c>
      <c r="I623" s="3" t="s">
        <v>42</v>
      </c>
      <c r="K623" s="3">
        <v>17000.0</v>
      </c>
      <c r="L623" s="3" t="s">
        <v>203</v>
      </c>
      <c r="M623" s="3" t="str">
        <f t="shared" si="1"/>
        <v>Target Achieved</v>
      </c>
      <c r="N623" s="10">
        <f t="shared" si="2"/>
        <v>0.5315789474</v>
      </c>
      <c r="O623" s="11" t="str">
        <f t="shared" si="3"/>
        <v/>
      </c>
      <c r="P623" s="12">
        <f t="shared" si="4"/>
        <v>14540.1</v>
      </c>
    </row>
    <row r="624" ht="12.75" customHeight="1">
      <c r="A624" s="3" t="s">
        <v>953</v>
      </c>
      <c r="B624" s="3" t="s">
        <v>811</v>
      </c>
      <c r="C624" s="3" t="s">
        <v>45</v>
      </c>
      <c r="D624" s="3" t="s">
        <v>22</v>
      </c>
      <c r="E624" s="3" t="s">
        <v>20</v>
      </c>
      <c r="F624" s="3" t="s">
        <v>41</v>
      </c>
      <c r="G624" s="3" t="s">
        <v>11</v>
      </c>
      <c r="H624" s="3">
        <v>17104.0</v>
      </c>
      <c r="I624" s="3" t="s">
        <v>37</v>
      </c>
      <c r="J624" s="3">
        <v>0.1</v>
      </c>
      <c r="K624" s="3">
        <v>17000.0</v>
      </c>
      <c r="L624" s="15" t="s">
        <v>183</v>
      </c>
      <c r="M624" s="3" t="str">
        <f t="shared" si="1"/>
        <v>Target Achieved</v>
      </c>
      <c r="N624" s="10">
        <f t="shared" si="2"/>
        <v>0.5303430079</v>
      </c>
      <c r="O624" s="11">
        <f t="shared" si="3"/>
        <v>0.1</v>
      </c>
      <c r="P624" s="12">
        <f t="shared" si="4"/>
        <v>15393.6</v>
      </c>
    </row>
    <row r="625" ht="12.75" customHeight="1">
      <c r="A625" s="3" t="s">
        <v>954</v>
      </c>
      <c r="B625" s="3" t="s">
        <v>943</v>
      </c>
      <c r="C625" s="3" t="s">
        <v>18</v>
      </c>
      <c r="D625" s="3" t="s">
        <v>16</v>
      </c>
      <c r="E625" s="3" t="s">
        <v>20</v>
      </c>
      <c r="F625" s="3" t="s">
        <v>41</v>
      </c>
      <c r="G625" s="3" t="s">
        <v>13</v>
      </c>
      <c r="H625" s="3">
        <v>14745.0</v>
      </c>
      <c r="I625" s="3" t="s">
        <v>23</v>
      </c>
      <c r="J625" s="3">
        <v>0.2</v>
      </c>
      <c r="K625" s="3">
        <v>14000.0</v>
      </c>
      <c r="L625" s="3" t="s">
        <v>139</v>
      </c>
      <c r="M625" s="3" t="str">
        <f t="shared" si="1"/>
        <v>Target Achieved</v>
      </c>
      <c r="N625" s="10">
        <f t="shared" si="2"/>
        <v>0.5291005291</v>
      </c>
      <c r="O625" s="11">
        <f t="shared" si="3"/>
        <v>0.2</v>
      </c>
      <c r="P625" s="12">
        <f t="shared" si="4"/>
        <v>11796</v>
      </c>
    </row>
    <row r="626" ht="12.75" customHeight="1">
      <c r="A626" s="3" t="s">
        <v>955</v>
      </c>
      <c r="B626" s="3" t="s">
        <v>119</v>
      </c>
      <c r="C626" s="3" t="s">
        <v>18</v>
      </c>
      <c r="D626" s="3" t="s">
        <v>16</v>
      </c>
      <c r="E626" s="3" t="s">
        <v>46</v>
      </c>
      <c r="F626" s="3" t="s">
        <v>52</v>
      </c>
      <c r="G626" s="3" t="s">
        <v>12</v>
      </c>
      <c r="H626" s="3">
        <v>15598.0</v>
      </c>
      <c r="K626" s="3">
        <v>14000.0</v>
      </c>
      <c r="L626" s="15" t="s">
        <v>313</v>
      </c>
      <c r="M626" s="3" t="str">
        <f t="shared" si="1"/>
        <v>Target Achieved</v>
      </c>
      <c r="N626" s="10">
        <f t="shared" si="2"/>
        <v>0.5278514589</v>
      </c>
      <c r="O626" s="11">
        <f t="shared" si="3"/>
        <v>0</v>
      </c>
      <c r="P626" s="12">
        <f t="shared" si="4"/>
        <v>15598</v>
      </c>
    </row>
    <row r="627" ht="12.75" customHeight="1">
      <c r="A627" s="3" t="s">
        <v>956</v>
      </c>
      <c r="B627" s="3" t="s">
        <v>127</v>
      </c>
      <c r="C627" s="3" t="s">
        <v>57</v>
      </c>
      <c r="D627" s="3" t="s">
        <v>19</v>
      </c>
      <c r="E627" s="3" t="s">
        <v>46</v>
      </c>
      <c r="F627" s="3" t="s">
        <v>21</v>
      </c>
      <c r="G627" s="3" t="s">
        <v>12</v>
      </c>
      <c r="H627" s="3">
        <v>12358.0</v>
      </c>
      <c r="I627" s="3" t="s">
        <v>37</v>
      </c>
      <c r="J627" s="3">
        <v>0.1</v>
      </c>
      <c r="K627" s="3">
        <v>13000.0</v>
      </c>
      <c r="L627" s="15" t="s">
        <v>123</v>
      </c>
      <c r="M627" s="3" t="str">
        <f t="shared" si="1"/>
        <v>Below Target</v>
      </c>
      <c r="N627" s="10">
        <f t="shared" si="2"/>
        <v>0.5265957447</v>
      </c>
      <c r="O627" s="11">
        <f t="shared" si="3"/>
        <v>0.1</v>
      </c>
      <c r="P627" s="12">
        <f t="shared" si="4"/>
        <v>11122.2</v>
      </c>
    </row>
    <row r="628" ht="12.75" customHeight="1">
      <c r="A628" s="3" t="s">
        <v>957</v>
      </c>
      <c r="B628" s="3" t="s">
        <v>56</v>
      </c>
      <c r="C628" s="3" t="s">
        <v>57</v>
      </c>
      <c r="D628" s="3" t="s">
        <v>19</v>
      </c>
      <c r="E628" s="3" t="s">
        <v>58</v>
      </c>
      <c r="F628" s="3" t="s">
        <v>52</v>
      </c>
      <c r="G628" s="3" t="s">
        <v>13</v>
      </c>
      <c r="H628" s="3">
        <v>13355.0</v>
      </c>
      <c r="I628" s="3" t="s">
        <v>23</v>
      </c>
      <c r="J628" s="3">
        <v>0.2</v>
      </c>
      <c r="K628" s="3">
        <v>13000.0</v>
      </c>
      <c r="L628" s="3" t="s">
        <v>340</v>
      </c>
      <c r="M628" s="3" t="str">
        <f t="shared" si="1"/>
        <v>Target Achieved</v>
      </c>
      <c r="N628" s="10">
        <f t="shared" si="2"/>
        <v>0.528</v>
      </c>
      <c r="O628" s="11">
        <f t="shared" si="3"/>
        <v>0.2</v>
      </c>
      <c r="P628" s="12">
        <f t="shared" si="4"/>
        <v>10684</v>
      </c>
    </row>
    <row r="629" ht="12.75" customHeight="1">
      <c r="A629" s="3" t="s">
        <v>958</v>
      </c>
      <c r="B629" s="3" t="s">
        <v>89</v>
      </c>
      <c r="C629" s="3" t="s">
        <v>76</v>
      </c>
      <c r="D629" s="3" t="s">
        <v>24</v>
      </c>
      <c r="E629" s="3" t="s">
        <v>58</v>
      </c>
      <c r="F629" s="3" t="s">
        <v>52</v>
      </c>
      <c r="G629" s="3" t="s">
        <v>11</v>
      </c>
      <c r="H629" s="3">
        <v>8773.0</v>
      </c>
      <c r="I629" s="3" t="s">
        <v>47</v>
      </c>
      <c r="J629" s="3">
        <v>0.3</v>
      </c>
      <c r="K629" s="3">
        <v>9000.0</v>
      </c>
      <c r="L629" s="15" t="s">
        <v>211</v>
      </c>
      <c r="M629" s="3" t="str">
        <f t="shared" si="1"/>
        <v>Below Target</v>
      </c>
      <c r="N629" s="10">
        <f t="shared" si="2"/>
        <v>0.5267379679</v>
      </c>
      <c r="O629" s="11">
        <f t="shared" si="3"/>
        <v>0.3</v>
      </c>
      <c r="P629" s="12">
        <f t="shared" si="4"/>
        <v>6141.1</v>
      </c>
    </row>
    <row r="630" ht="12.75" customHeight="1">
      <c r="A630" s="3" t="s">
        <v>959</v>
      </c>
      <c r="B630" s="3" t="s">
        <v>366</v>
      </c>
      <c r="C630" s="3" t="s">
        <v>18</v>
      </c>
      <c r="D630" s="3" t="s">
        <v>16</v>
      </c>
      <c r="E630" s="3" t="s">
        <v>20</v>
      </c>
      <c r="F630" s="3" t="s">
        <v>41</v>
      </c>
      <c r="G630" s="3" t="s">
        <v>12</v>
      </c>
      <c r="H630" s="3">
        <v>14950.0</v>
      </c>
      <c r="I630" s="3" t="s">
        <v>42</v>
      </c>
      <c r="K630" s="3">
        <v>14000.0</v>
      </c>
      <c r="L630" s="15" t="s">
        <v>109</v>
      </c>
      <c r="M630" s="3" t="str">
        <f t="shared" si="1"/>
        <v>Target Achieved</v>
      </c>
      <c r="N630" s="10">
        <f t="shared" si="2"/>
        <v>0.528150134</v>
      </c>
      <c r="O630" s="11" t="str">
        <f t="shared" si="3"/>
        <v/>
      </c>
      <c r="P630" s="12">
        <f t="shared" si="4"/>
        <v>12707.5</v>
      </c>
    </row>
    <row r="631" ht="12.75" customHeight="1">
      <c r="A631" s="3" t="s">
        <v>960</v>
      </c>
      <c r="B631" s="3" t="s">
        <v>390</v>
      </c>
      <c r="C631" s="3" t="s">
        <v>18</v>
      </c>
      <c r="D631" s="3" t="s">
        <v>16</v>
      </c>
      <c r="E631" s="3" t="s">
        <v>20</v>
      </c>
      <c r="F631" s="3" t="s">
        <v>41</v>
      </c>
      <c r="G631" s="3" t="s">
        <v>11</v>
      </c>
      <c r="H631" s="3">
        <v>15801.0</v>
      </c>
      <c r="I631" s="3" t="s">
        <v>42</v>
      </c>
      <c r="K631" s="3">
        <v>14000.0</v>
      </c>
      <c r="L631" s="15" t="s">
        <v>234</v>
      </c>
      <c r="M631" s="3" t="str">
        <f t="shared" si="1"/>
        <v>Target Achieved</v>
      </c>
      <c r="N631" s="10">
        <f t="shared" si="2"/>
        <v>0.5268817204</v>
      </c>
      <c r="O631" s="11" t="str">
        <f t="shared" si="3"/>
        <v/>
      </c>
      <c r="P631" s="12">
        <f t="shared" si="4"/>
        <v>13430.85</v>
      </c>
    </row>
    <row r="632" ht="12.75" customHeight="1">
      <c r="A632" s="3" t="s">
        <v>961</v>
      </c>
      <c r="B632" s="3" t="s">
        <v>543</v>
      </c>
      <c r="C632" s="3" t="s">
        <v>45</v>
      </c>
      <c r="D632" s="3" t="s">
        <v>22</v>
      </c>
      <c r="E632" s="3" t="s">
        <v>20</v>
      </c>
      <c r="F632" s="3" t="s">
        <v>41</v>
      </c>
      <c r="G632" s="3" t="s">
        <v>11</v>
      </c>
      <c r="H632" s="3">
        <v>18134.0</v>
      </c>
      <c r="K632" s="3">
        <v>17000.0</v>
      </c>
      <c r="L632" s="3" t="s">
        <v>88</v>
      </c>
      <c r="M632" s="3" t="str">
        <f t="shared" si="1"/>
        <v>Target Achieved</v>
      </c>
      <c r="N632" s="10">
        <f t="shared" si="2"/>
        <v>0.525606469</v>
      </c>
      <c r="O632" s="11">
        <f t="shared" si="3"/>
        <v>0</v>
      </c>
      <c r="P632" s="12">
        <f t="shared" si="4"/>
        <v>18134</v>
      </c>
    </row>
    <row r="633" ht="12.75" customHeight="1">
      <c r="A633" s="3" t="s">
        <v>962</v>
      </c>
      <c r="B633" s="3" t="s">
        <v>405</v>
      </c>
      <c r="C633" s="3" t="s">
        <v>18</v>
      </c>
      <c r="D633" s="3" t="s">
        <v>16</v>
      </c>
      <c r="E633" s="3" t="s">
        <v>58</v>
      </c>
      <c r="F633" s="3" t="s">
        <v>41</v>
      </c>
      <c r="G633" s="3" t="s">
        <v>12</v>
      </c>
      <c r="H633" s="3">
        <v>12900.0</v>
      </c>
      <c r="I633" s="3" t="s">
        <v>23</v>
      </c>
      <c r="J633" s="3">
        <v>0.2</v>
      </c>
      <c r="K633" s="3">
        <v>14000.0</v>
      </c>
      <c r="L633" s="3" t="s">
        <v>38</v>
      </c>
      <c r="M633" s="3" t="str">
        <f t="shared" si="1"/>
        <v>Below Target</v>
      </c>
      <c r="N633" s="10">
        <f t="shared" si="2"/>
        <v>0.5243243243</v>
      </c>
      <c r="O633" s="11">
        <f t="shared" si="3"/>
        <v>0.2</v>
      </c>
      <c r="P633" s="12">
        <f t="shared" si="4"/>
        <v>10320</v>
      </c>
    </row>
    <row r="634" ht="12.75" customHeight="1">
      <c r="A634" s="3" t="s">
        <v>963</v>
      </c>
      <c r="B634" s="3" t="s">
        <v>197</v>
      </c>
      <c r="C634" s="3" t="s">
        <v>45</v>
      </c>
      <c r="D634" s="3" t="s">
        <v>22</v>
      </c>
      <c r="E634" s="3" t="s">
        <v>20</v>
      </c>
      <c r="F634" s="3" t="s">
        <v>41</v>
      </c>
      <c r="G634" s="3" t="s">
        <v>11</v>
      </c>
      <c r="H634" s="3">
        <v>17774.0</v>
      </c>
      <c r="I634" s="3" t="s">
        <v>47</v>
      </c>
      <c r="J634" s="3">
        <v>0.3</v>
      </c>
      <c r="K634" s="3">
        <v>17000.0</v>
      </c>
      <c r="L634" s="15" t="s">
        <v>183</v>
      </c>
      <c r="M634" s="3" t="str">
        <f t="shared" si="1"/>
        <v>Target Achieved</v>
      </c>
      <c r="N634" s="10">
        <f t="shared" si="2"/>
        <v>0.5257452575</v>
      </c>
      <c r="O634" s="11">
        <f t="shared" si="3"/>
        <v>0.3</v>
      </c>
      <c r="P634" s="12">
        <f t="shared" si="4"/>
        <v>12441.8</v>
      </c>
    </row>
    <row r="635" ht="12.75" customHeight="1">
      <c r="A635" s="3" t="s">
        <v>964</v>
      </c>
      <c r="B635" s="3" t="s">
        <v>213</v>
      </c>
      <c r="C635" s="3" t="s">
        <v>57</v>
      </c>
      <c r="D635" s="3" t="s">
        <v>19</v>
      </c>
      <c r="E635" s="3" t="s">
        <v>46</v>
      </c>
      <c r="F635" s="3" t="s">
        <v>41</v>
      </c>
      <c r="G635" s="3" t="s">
        <v>13</v>
      </c>
      <c r="H635" s="3">
        <v>13345.0</v>
      </c>
      <c r="I635" s="3" t="s">
        <v>42</v>
      </c>
      <c r="K635" s="3">
        <v>13000.0</v>
      </c>
      <c r="L635" s="3" t="s">
        <v>314</v>
      </c>
      <c r="M635" s="3" t="str">
        <f t="shared" si="1"/>
        <v>Target Achieved</v>
      </c>
      <c r="N635" s="10">
        <f t="shared" si="2"/>
        <v>0.5244565217</v>
      </c>
      <c r="O635" s="11" t="str">
        <f t="shared" si="3"/>
        <v/>
      </c>
      <c r="P635" s="12">
        <f t="shared" si="4"/>
        <v>11343.25</v>
      </c>
    </row>
    <row r="636" ht="12.75" customHeight="1">
      <c r="A636" s="3" t="s">
        <v>965</v>
      </c>
      <c r="B636" s="3" t="s">
        <v>215</v>
      </c>
      <c r="C636" s="3" t="s">
        <v>18</v>
      </c>
      <c r="D636" s="3" t="s">
        <v>16</v>
      </c>
      <c r="E636" s="3" t="s">
        <v>58</v>
      </c>
      <c r="F636" s="3" t="s">
        <v>41</v>
      </c>
      <c r="G636" s="3" t="s">
        <v>12</v>
      </c>
      <c r="H636" s="3">
        <v>15036.0</v>
      </c>
      <c r="I636" s="3" t="s">
        <v>47</v>
      </c>
      <c r="J636" s="3">
        <v>0.3</v>
      </c>
      <c r="K636" s="3">
        <v>14000.0</v>
      </c>
      <c r="L636" s="3" t="s">
        <v>65</v>
      </c>
      <c r="M636" s="3" t="str">
        <f t="shared" si="1"/>
        <v>Target Achieved</v>
      </c>
      <c r="N636" s="10">
        <f t="shared" si="2"/>
        <v>0.5231607629</v>
      </c>
      <c r="O636" s="11">
        <f t="shared" si="3"/>
        <v>0.3</v>
      </c>
      <c r="P636" s="12">
        <f t="shared" si="4"/>
        <v>10525.2</v>
      </c>
    </row>
    <row r="637" ht="12.75" customHeight="1">
      <c r="A637" s="3" t="s">
        <v>966</v>
      </c>
      <c r="B637" s="3" t="s">
        <v>366</v>
      </c>
      <c r="C637" s="3" t="s">
        <v>57</v>
      </c>
      <c r="D637" s="3" t="s">
        <v>19</v>
      </c>
      <c r="E637" s="3" t="s">
        <v>46</v>
      </c>
      <c r="F637" s="3" t="s">
        <v>41</v>
      </c>
      <c r="G637" s="3" t="s">
        <v>13</v>
      </c>
      <c r="H637" s="3">
        <v>13526.0</v>
      </c>
      <c r="I637" s="3" t="s">
        <v>47</v>
      </c>
      <c r="J637" s="3">
        <v>0.3</v>
      </c>
      <c r="K637" s="3">
        <v>13000.0</v>
      </c>
      <c r="L637" s="3" t="s">
        <v>164</v>
      </c>
      <c r="M637" s="3" t="str">
        <f t="shared" si="1"/>
        <v>Target Achieved</v>
      </c>
      <c r="N637" s="10">
        <f t="shared" si="2"/>
        <v>0.5218579235</v>
      </c>
      <c r="O637" s="11">
        <f t="shared" si="3"/>
        <v>0.3</v>
      </c>
      <c r="P637" s="12">
        <f t="shared" si="4"/>
        <v>9468.2</v>
      </c>
    </row>
    <row r="638" ht="12.75" customHeight="1">
      <c r="A638" s="3" t="s">
        <v>967</v>
      </c>
      <c r="B638" s="3" t="s">
        <v>943</v>
      </c>
      <c r="C638" s="3" t="s">
        <v>18</v>
      </c>
      <c r="D638" s="3" t="s">
        <v>16</v>
      </c>
      <c r="E638" s="3" t="s">
        <v>20</v>
      </c>
      <c r="F638" s="3" t="s">
        <v>21</v>
      </c>
      <c r="G638" s="3" t="s">
        <v>12</v>
      </c>
      <c r="H638" s="3">
        <v>14251.0</v>
      </c>
      <c r="I638" s="3" t="s">
        <v>37</v>
      </c>
      <c r="J638" s="3">
        <v>0.1</v>
      </c>
      <c r="K638" s="3">
        <v>14000.0</v>
      </c>
      <c r="L638" s="3" t="s">
        <v>268</v>
      </c>
      <c r="M638" s="3" t="str">
        <f t="shared" si="1"/>
        <v>Target Achieved</v>
      </c>
      <c r="N638" s="10">
        <f t="shared" si="2"/>
        <v>0.5205479452</v>
      </c>
      <c r="O638" s="11">
        <f t="shared" si="3"/>
        <v>0.1</v>
      </c>
      <c r="P638" s="12">
        <f t="shared" si="4"/>
        <v>12825.9</v>
      </c>
    </row>
    <row r="639" ht="12.75" customHeight="1">
      <c r="A639" s="3" t="s">
        <v>968</v>
      </c>
      <c r="B639" s="3" t="s">
        <v>17</v>
      </c>
      <c r="C639" s="3" t="s">
        <v>45</v>
      </c>
      <c r="D639" s="3" t="s">
        <v>22</v>
      </c>
      <c r="E639" s="3" t="s">
        <v>46</v>
      </c>
      <c r="F639" s="3" t="s">
        <v>41</v>
      </c>
      <c r="G639" s="3" t="s">
        <v>12</v>
      </c>
      <c r="H639" s="3">
        <v>17378.0</v>
      </c>
      <c r="K639" s="3">
        <v>17000.0</v>
      </c>
      <c r="L639" s="15" t="s">
        <v>183</v>
      </c>
      <c r="M639" s="3" t="str">
        <f t="shared" si="1"/>
        <v>Target Achieved</v>
      </c>
      <c r="N639" s="10">
        <f t="shared" si="2"/>
        <v>0.5192307692</v>
      </c>
      <c r="O639" s="11">
        <f t="shared" si="3"/>
        <v>0</v>
      </c>
      <c r="P639" s="12">
        <f t="shared" si="4"/>
        <v>17378</v>
      </c>
    </row>
    <row r="640" ht="12.75" customHeight="1">
      <c r="A640" s="3" t="s">
        <v>969</v>
      </c>
      <c r="B640" s="3" t="s">
        <v>374</v>
      </c>
      <c r="C640" s="3" t="s">
        <v>57</v>
      </c>
      <c r="D640" s="3" t="s">
        <v>19</v>
      </c>
      <c r="E640" s="3" t="s">
        <v>20</v>
      </c>
      <c r="F640" s="3" t="s">
        <v>52</v>
      </c>
      <c r="G640" s="3" t="s">
        <v>13</v>
      </c>
      <c r="H640" s="3">
        <v>11409.0</v>
      </c>
      <c r="I640" s="3" t="s">
        <v>47</v>
      </c>
      <c r="J640" s="3">
        <v>0.3</v>
      </c>
      <c r="K640" s="3">
        <v>13000.0</v>
      </c>
      <c r="L640" s="15" t="s">
        <v>322</v>
      </c>
      <c r="M640" s="3" t="str">
        <f t="shared" si="1"/>
        <v>Below Target</v>
      </c>
      <c r="N640" s="10">
        <f t="shared" si="2"/>
        <v>0.5179063361</v>
      </c>
      <c r="O640" s="11">
        <f t="shared" si="3"/>
        <v>0.3</v>
      </c>
      <c r="P640" s="12">
        <f t="shared" si="4"/>
        <v>7986.3</v>
      </c>
    </row>
    <row r="641" ht="12.75" customHeight="1">
      <c r="A641" s="3" t="s">
        <v>970</v>
      </c>
      <c r="B641" s="3" t="s">
        <v>310</v>
      </c>
      <c r="C641" s="3" t="s">
        <v>45</v>
      </c>
      <c r="D641" s="3" t="s">
        <v>22</v>
      </c>
      <c r="E641" s="3" t="s">
        <v>58</v>
      </c>
      <c r="F641" s="3" t="s">
        <v>21</v>
      </c>
      <c r="G641" s="3" t="s">
        <v>11</v>
      </c>
      <c r="H641" s="3">
        <v>17524.0</v>
      </c>
      <c r="I641" s="3" t="s">
        <v>47</v>
      </c>
      <c r="J641" s="3">
        <v>0.3</v>
      </c>
      <c r="K641" s="3">
        <v>17000.0</v>
      </c>
      <c r="L641" s="3" t="s">
        <v>96</v>
      </c>
      <c r="M641" s="3" t="str">
        <f t="shared" si="1"/>
        <v>Target Achieved</v>
      </c>
      <c r="N641" s="10">
        <f t="shared" si="2"/>
        <v>0.5193370166</v>
      </c>
      <c r="O641" s="11">
        <f t="shared" si="3"/>
        <v>0.3</v>
      </c>
      <c r="P641" s="12">
        <f t="shared" si="4"/>
        <v>12266.8</v>
      </c>
    </row>
    <row r="642" ht="12.75" customHeight="1">
      <c r="A642" s="3" t="s">
        <v>971</v>
      </c>
      <c r="B642" s="3" t="s">
        <v>473</v>
      </c>
      <c r="C642" s="3" t="s">
        <v>45</v>
      </c>
      <c r="D642" s="3" t="s">
        <v>22</v>
      </c>
      <c r="E642" s="3" t="s">
        <v>58</v>
      </c>
      <c r="F642" s="3" t="s">
        <v>21</v>
      </c>
      <c r="G642" s="3" t="s">
        <v>13</v>
      </c>
      <c r="H642" s="3">
        <v>15019.0</v>
      </c>
      <c r="I642" s="3" t="s">
        <v>47</v>
      </c>
      <c r="J642" s="3">
        <v>0.3</v>
      </c>
      <c r="K642" s="3">
        <v>17000.0</v>
      </c>
      <c r="L642" s="3" t="s">
        <v>245</v>
      </c>
      <c r="M642" s="3" t="str">
        <f t="shared" si="1"/>
        <v>Below Target</v>
      </c>
      <c r="N642" s="10">
        <f t="shared" si="2"/>
        <v>0.5180055402</v>
      </c>
      <c r="O642" s="11">
        <f t="shared" si="3"/>
        <v>0.3</v>
      </c>
      <c r="P642" s="12">
        <f t="shared" si="4"/>
        <v>10513.3</v>
      </c>
    </row>
    <row r="643" ht="12.75" customHeight="1">
      <c r="A643" s="3" t="s">
        <v>972</v>
      </c>
      <c r="B643" s="3" t="s">
        <v>388</v>
      </c>
      <c r="C643" s="3" t="s">
        <v>76</v>
      </c>
      <c r="D643" s="3" t="s">
        <v>24</v>
      </c>
      <c r="E643" s="3" t="s">
        <v>58</v>
      </c>
      <c r="F643" s="3" t="s">
        <v>21</v>
      </c>
      <c r="G643" s="3" t="s">
        <v>13</v>
      </c>
      <c r="H643" s="3">
        <v>9783.0</v>
      </c>
      <c r="I643" s="3" t="s">
        <v>47</v>
      </c>
      <c r="J643" s="3">
        <v>0.3</v>
      </c>
      <c r="K643" s="3">
        <v>9000.0</v>
      </c>
      <c r="L643" s="3" t="s">
        <v>337</v>
      </c>
      <c r="M643" s="3" t="str">
        <f t="shared" si="1"/>
        <v>Target Achieved</v>
      </c>
      <c r="N643" s="10">
        <f t="shared" si="2"/>
        <v>0.5194444444</v>
      </c>
      <c r="O643" s="11">
        <f t="shared" si="3"/>
        <v>0.3</v>
      </c>
      <c r="P643" s="12">
        <f t="shared" si="4"/>
        <v>6848.1</v>
      </c>
    </row>
    <row r="644" ht="12.75" customHeight="1">
      <c r="A644" s="3" t="s">
        <v>973</v>
      </c>
      <c r="B644" s="3" t="s">
        <v>290</v>
      </c>
      <c r="C644" s="3" t="s">
        <v>76</v>
      </c>
      <c r="D644" s="3" t="s">
        <v>24</v>
      </c>
      <c r="E644" s="3" t="s">
        <v>58</v>
      </c>
      <c r="F644" s="3" t="s">
        <v>21</v>
      </c>
      <c r="G644" s="3" t="s">
        <v>11</v>
      </c>
      <c r="H644" s="3">
        <v>9259.0</v>
      </c>
      <c r="I644" s="3" t="s">
        <v>37</v>
      </c>
      <c r="J644" s="3">
        <v>0.1</v>
      </c>
      <c r="K644" s="3">
        <v>9000.0</v>
      </c>
      <c r="L644" s="15" t="s">
        <v>316</v>
      </c>
      <c r="M644" s="3" t="str">
        <f t="shared" si="1"/>
        <v>Target Achieved</v>
      </c>
      <c r="N644" s="10">
        <f t="shared" si="2"/>
        <v>0.5181058496</v>
      </c>
      <c r="O644" s="11">
        <f t="shared" si="3"/>
        <v>0.1</v>
      </c>
      <c r="P644" s="12">
        <f t="shared" si="4"/>
        <v>8333.1</v>
      </c>
    </row>
    <row r="645" ht="12.75" customHeight="1">
      <c r="A645" s="3" t="s">
        <v>974</v>
      </c>
      <c r="B645" s="3" t="s">
        <v>207</v>
      </c>
      <c r="C645" s="3" t="s">
        <v>18</v>
      </c>
      <c r="D645" s="3" t="s">
        <v>16</v>
      </c>
      <c r="E645" s="3" t="s">
        <v>58</v>
      </c>
      <c r="F645" s="3" t="s">
        <v>41</v>
      </c>
      <c r="G645" s="3" t="s">
        <v>12</v>
      </c>
      <c r="H645" s="3">
        <v>12804.0</v>
      </c>
      <c r="I645" s="3" t="s">
        <v>47</v>
      </c>
      <c r="J645" s="3">
        <v>0.3</v>
      </c>
      <c r="K645" s="3">
        <v>14000.0</v>
      </c>
      <c r="L645" s="3" t="s">
        <v>319</v>
      </c>
      <c r="M645" s="3" t="str">
        <f t="shared" si="1"/>
        <v>Below Target</v>
      </c>
      <c r="N645" s="10">
        <f t="shared" si="2"/>
        <v>0.5167597765</v>
      </c>
      <c r="O645" s="11">
        <f t="shared" si="3"/>
        <v>0.3</v>
      </c>
      <c r="P645" s="12">
        <f t="shared" si="4"/>
        <v>8962.8</v>
      </c>
    </row>
    <row r="646" ht="12.75" customHeight="1">
      <c r="A646" s="3" t="s">
        <v>975</v>
      </c>
      <c r="B646" s="3" t="s">
        <v>62</v>
      </c>
      <c r="C646" s="3" t="s">
        <v>18</v>
      </c>
      <c r="D646" s="3" t="s">
        <v>16</v>
      </c>
      <c r="E646" s="3" t="s">
        <v>20</v>
      </c>
      <c r="F646" s="3" t="s">
        <v>41</v>
      </c>
      <c r="G646" s="3" t="s">
        <v>13</v>
      </c>
      <c r="H646" s="3">
        <v>15479.0</v>
      </c>
      <c r="I646" s="3" t="s">
        <v>42</v>
      </c>
      <c r="K646" s="3">
        <v>14000.0</v>
      </c>
      <c r="L646" s="15" t="s">
        <v>312</v>
      </c>
      <c r="M646" s="3" t="str">
        <f t="shared" si="1"/>
        <v>Target Achieved</v>
      </c>
      <c r="N646" s="10">
        <f t="shared" si="2"/>
        <v>0.5182072829</v>
      </c>
      <c r="O646" s="11" t="str">
        <f t="shared" si="3"/>
        <v/>
      </c>
      <c r="P646" s="12">
        <f t="shared" si="4"/>
        <v>13157.15</v>
      </c>
    </row>
    <row r="647" ht="12.75" customHeight="1">
      <c r="A647" s="3" t="s">
        <v>976</v>
      </c>
      <c r="B647" s="3" t="s">
        <v>168</v>
      </c>
      <c r="C647" s="3" t="s">
        <v>76</v>
      </c>
      <c r="D647" s="3" t="s">
        <v>24</v>
      </c>
      <c r="E647" s="3" t="s">
        <v>20</v>
      </c>
      <c r="F647" s="3" t="s">
        <v>41</v>
      </c>
      <c r="G647" s="3" t="s">
        <v>13</v>
      </c>
      <c r="H647" s="3">
        <v>9259.0</v>
      </c>
      <c r="I647" s="3" t="s">
        <v>47</v>
      </c>
      <c r="J647" s="3">
        <v>0.3</v>
      </c>
      <c r="K647" s="3">
        <v>9000.0</v>
      </c>
      <c r="L647" s="15" t="s">
        <v>348</v>
      </c>
      <c r="M647" s="3" t="str">
        <f t="shared" si="1"/>
        <v>Target Achieved</v>
      </c>
      <c r="N647" s="10">
        <f t="shared" si="2"/>
        <v>0.5168539326</v>
      </c>
      <c r="O647" s="11">
        <f t="shared" si="3"/>
        <v>0.3</v>
      </c>
      <c r="P647" s="12">
        <f t="shared" si="4"/>
        <v>6481.3</v>
      </c>
    </row>
    <row r="648" ht="12.75" customHeight="1">
      <c r="A648" s="3" t="s">
        <v>977</v>
      </c>
      <c r="B648" s="3" t="s">
        <v>111</v>
      </c>
      <c r="C648" s="3" t="s">
        <v>76</v>
      </c>
      <c r="D648" s="3" t="s">
        <v>24</v>
      </c>
      <c r="E648" s="3" t="s">
        <v>20</v>
      </c>
      <c r="F648" s="3" t="s">
        <v>41</v>
      </c>
      <c r="G648" s="3" t="s">
        <v>11</v>
      </c>
      <c r="H648" s="3">
        <v>8607.0</v>
      </c>
      <c r="I648" s="3" t="s">
        <v>23</v>
      </c>
      <c r="J648" s="3">
        <v>0.2</v>
      </c>
      <c r="K648" s="3">
        <v>9000.0</v>
      </c>
      <c r="L648" s="3" t="s">
        <v>338</v>
      </c>
      <c r="M648" s="3" t="str">
        <f t="shared" si="1"/>
        <v>Below Target</v>
      </c>
      <c r="N648" s="10">
        <f t="shared" si="2"/>
        <v>0.5154929577</v>
      </c>
      <c r="O648" s="11">
        <f t="shared" si="3"/>
        <v>0.2</v>
      </c>
      <c r="P648" s="12">
        <f t="shared" si="4"/>
        <v>6885.6</v>
      </c>
    </row>
    <row r="649" ht="12.75" customHeight="1">
      <c r="A649" s="3" t="s">
        <v>978</v>
      </c>
      <c r="B649" s="3" t="s">
        <v>622</v>
      </c>
      <c r="C649" s="3" t="s">
        <v>45</v>
      </c>
      <c r="D649" s="3" t="s">
        <v>22</v>
      </c>
      <c r="E649" s="3" t="s">
        <v>46</v>
      </c>
      <c r="F649" s="3" t="s">
        <v>21</v>
      </c>
      <c r="G649" s="3" t="s">
        <v>12</v>
      </c>
      <c r="H649" s="3">
        <v>17090.0</v>
      </c>
      <c r="I649" s="3" t="s">
        <v>37</v>
      </c>
      <c r="J649" s="3">
        <v>0.1</v>
      </c>
      <c r="K649" s="3">
        <v>17000.0</v>
      </c>
      <c r="L649" s="3" t="s">
        <v>314</v>
      </c>
      <c r="M649" s="3" t="str">
        <f t="shared" si="1"/>
        <v>Target Achieved</v>
      </c>
      <c r="N649" s="10">
        <f t="shared" si="2"/>
        <v>0.5169491525</v>
      </c>
      <c r="O649" s="11">
        <f t="shared" si="3"/>
        <v>0.1</v>
      </c>
      <c r="P649" s="12">
        <f t="shared" si="4"/>
        <v>15381</v>
      </c>
    </row>
    <row r="650" ht="12.75" customHeight="1">
      <c r="A650" s="3" t="s">
        <v>979</v>
      </c>
      <c r="B650" s="3" t="s">
        <v>396</v>
      </c>
      <c r="C650" s="3" t="s">
        <v>18</v>
      </c>
      <c r="D650" s="3" t="s">
        <v>16</v>
      </c>
      <c r="E650" s="3" t="s">
        <v>20</v>
      </c>
      <c r="F650" s="3" t="s">
        <v>41</v>
      </c>
      <c r="G650" s="3" t="s">
        <v>12</v>
      </c>
      <c r="H650" s="3">
        <v>14802.0</v>
      </c>
      <c r="I650" s="3" t="s">
        <v>23</v>
      </c>
      <c r="J650" s="3">
        <v>0.2</v>
      </c>
      <c r="K650" s="3">
        <v>14000.0</v>
      </c>
      <c r="L650" s="3" t="s">
        <v>323</v>
      </c>
      <c r="M650" s="3" t="str">
        <f t="shared" si="1"/>
        <v>Target Achieved</v>
      </c>
      <c r="N650" s="10">
        <f t="shared" si="2"/>
        <v>0.5155807365</v>
      </c>
      <c r="O650" s="11">
        <f t="shared" si="3"/>
        <v>0.2</v>
      </c>
      <c r="P650" s="12">
        <f t="shared" si="4"/>
        <v>11841.6</v>
      </c>
    </row>
    <row r="651" ht="12.75" customHeight="1">
      <c r="A651" s="3" t="s">
        <v>980</v>
      </c>
      <c r="B651" s="3" t="s">
        <v>105</v>
      </c>
      <c r="C651" s="3" t="s">
        <v>76</v>
      </c>
      <c r="D651" s="3" t="s">
        <v>24</v>
      </c>
      <c r="E651" s="3" t="s">
        <v>46</v>
      </c>
      <c r="F651" s="3" t="s">
        <v>41</v>
      </c>
      <c r="G651" s="3" t="s">
        <v>12</v>
      </c>
      <c r="H651" s="3">
        <v>10885.0</v>
      </c>
      <c r="I651" s="3" t="s">
        <v>42</v>
      </c>
      <c r="K651" s="3">
        <v>9000.0</v>
      </c>
      <c r="L651" s="15" t="s">
        <v>317</v>
      </c>
      <c r="M651" s="3" t="str">
        <f t="shared" si="1"/>
        <v>Target Achieved</v>
      </c>
      <c r="N651" s="10">
        <f t="shared" si="2"/>
        <v>0.5142045455</v>
      </c>
      <c r="O651" s="11" t="str">
        <f t="shared" si="3"/>
        <v/>
      </c>
      <c r="P651" s="12">
        <f t="shared" si="4"/>
        <v>9252.25</v>
      </c>
    </row>
    <row r="652" ht="12.75" customHeight="1">
      <c r="A652" s="3" t="s">
        <v>981</v>
      </c>
      <c r="B652" s="3" t="s">
        <v>512</v>
      </c>
      <c r="C652" s="3" t="s">
        <v>76</v>
      </c>
      <c r="D652" s="3" t="s">
        <v>24</v>
      </c>
      <c r="E652" s="3" t="s">
        <v>58</v>
      </c>
      <c r="F652" s="3" t="s">
        <v>41</v>
      </c>
      <c r="G652" s="3" t="s">
        <v>13</v>
      </c>
      <c r="H652" s="3">
        <v>10118.0</v>
      </c>
      <c r="K652" s="3">
        <v>9000.0</v>
      </c>
      <c r="L652" s="3" t="s">
        <v>221</v>
      </c>
      <c r="M652" s="3" t="str">
        <f t="shared" si="1"/>
        <v>Target Achieved</v>
      </c>
      <c r="N652" s="10">
        <f t="shared" si="2"/>
        <v>0.5128205128</v>
      </c>
      <c r="O652" s="11">
        <f t="shared" si="3"/>
        <v>0</v>
      </c>
      <c r="P652" s="12">
        <f t="shared" si="4"/>
        <v>10118</v>
      </c>
    </row>
    <row r="653" ht="12.75" customHeight="1">
      <c r="A653" s="3" t="s">
        <v>982</v>
      </c>
      <c r="B653" s="3" t="s">
        <v>351</v>
      </c>
      <c r="C653" s="3" t="s">
        <v>45</v>
      </c>
      <c r="D653" s="3" t="s">
        <v>22</v>
      </c>
      <c r="E653" s="3" t="s">
        <v>46</v>
      </c>
      <c r="F653" s="3" t="s">
        <v>41</v>
      </c>
      <c r="G653" s="3" t="s">
        <v>12</v>
      </c>
      <c r="H653" s="3">
        <v>15846.0</v>
      </c>
      <c r="I653" s="3" t="s">
        <v>42</v>
      </c>
      <c r="K653" s="3">
        <v>17000.0</v>
      </c>
      <c r="L653" s="3" t="s">
        <v>340</v>
      </c>
      <c r="M653" s="3" t="str">
        <f t="shared" si="1"/>
        <v>Below Target</v>
      </c>
      <c r="N653" s="10">
        <f t="shared" si="2"/>
        <v>0.5114285714</v>
      </c>
      <c r="O653" s="11" t="str">
        <f t="shared" si="3"/>
        <v/>
      </c>
      <c r="P653" s="12">
        <f t="shared" si="4"/>
        <v>13469.1</v>
      </c>
    </row>
    <row r="654" ht="12.75" customHeight="1">
      <c r="A654" s="3" t="s">
        <v>983</v>
      </c>
      <c r="B654" s="3" t="s">
        <v>702</v>
      </c>
      <c r="C654" s="3" t="s">
        <v>76</v>
      </c>
      <c r="D654" s="3" t="s">
        <v>24</v>
      </c>
      <c r="E654" s="3" t="s">
        <v>58</v>
      </c>
      <c r="F654" s="3" t="s">
        <v>21</v>
      </c>
      <c r="G654" s="3" t="s">
        <v>13</v>
      </c>
      <c r="H654" s="3">
        <v>7163.0</v>
      </c>
      <c r="I654" s="3" t="s">
        <v>47</v>
      </c>
      <c r="J654" s="3">
        <v>0.3</v>
      </c>
      <c r="K654" s="3">
        <v>9000.0</v>
      </c>
      <c r="L654" s="15" t="s">
        <v>234</v>
      </c>
      <c r="M654" s="3" t="str">
        <f t="shared" si="1"/>
        <v>Below Target</v>
      </c>
      <c r="N654" s="10">
        <f t="shared" si="2"/>
        <v>0.5128939828</v>
      </c>
      <c r="O654" s="11">
        <f t="shared" si="3"/>
        <v>0.3</v>
      </c>
      <c r="P654" s="12">
        <f t="shared" si="4"/>
        <v>5014.1</v>
      </c>
    </row>
    <row r="655" ht="12.75" customHeight="1">
      <c r="A655" s="3" t="s">
        <v>984</v>
      </c>
      <c r="B655" s="3" t="s">
        <v>136</v>
      </c>
      <c r="C655" s="3" t="s">
        <v>45</v>
      </c>
      <c r="D655" s="3" t="s">
        <v>22</v>
      </c>
      <c r="E655" s="3" t="s">
        <v>20</v>
      </c>
      <c r="F655" s="3" t="s">
        <v>21</v>
      </c>
      <c r="G655" s="3" t="s">
        <v>12</v>
      </c>
      <c r="H655" s="3">
        <v>17229.0</v>
      </c>
      <c r="I655" s="3" t="s">
        <v>42</v>
      </c>
      <c r="K655" s="3">
        <v>17000.0</v>
      </c>
      <c r="L655" s="15" t="s">
        <v>316</v>
      </c>
      <c r="M655" s="3" t="str">
        <f t="shared" si="1"/>
        <v>Target Achieved</v>
      </c>
      <c r="N655" s="10">
        <f t="shared" si="2"/>
        <v>0.5143678161</v>
      </c>
      <c r="O655" s="11" t="str">
        <f t="shared" si="3"/>
        <v/>
      </c>
      <c r="P655" s="12">
        <f t="shared" si="4"/>
        <v>14644.65</v>
      </c>
    </row>
    <row r="656" ht="12.75" customHeight="1">
      <c r="A656" s="3" t="s">
        <v>985</v>
      </c>
      <c r="B656" s="3" t="s">
        <v>366</v>
      </c>
      <c r="C656" s="3" t="s">
        <v>76</v>
      </c>
      <c r="D656" s="3" t="s">
        <v>24</v>
      </c>
      <c r="E656" s="3" t="s">
        <v>58</v>
      </c>
      <c r="F656" s="3" t="s">
        <v>52</v>
      </c>
      <c r="G656" s="3" t="s">
        <v>12</v>
      </c>
      <c r="H656" s="3">
        <v>10679.0</v>
      </c>
      <c r="I656" s="3" t="s">
        <v>37</v>
      </c>
      <c r="J656" s="3">
        <v>0.1</v>
      </c>
      <c r="K656" s="3">
        <v>9000.0</v>
      </c>
      <c r="L656" s="15" t="s">
        <v>344</v>
      </c>
      <c r="M656" s="3" t="str">
        <f t="shared" si="1"/>
        <v>Target Achieved</v>
      </c>
      <c r="N656" s="10">
        <f t="shared" si="2"/>
        <v>0.5129682997</v>
      </c>
      <c r="O656" s="11">
        <f t="shared" si="3"/>
        <v>0.1</v>
      </c>
      <c r="P656" s="12">
        <f t="shared" si="4"/>
        <v>9611.1</v>
      </c>
    </row>
    <row r="657" ht="12.75" customHeight="1">
      <c r="A657" s="3" t="s">
        <v>986</v>
      </c>
      <c r="B657" s="3" t="s">
        <v>89</v>
      </c>
      <c r="C657" s="3" t="s">
        <v>57</v>
      </c>
      <c r="D657" s="3" t="s">
        <v>19</v>
      </c>
      <c r="E657" s="3" t="s">
        <v>20</v>
      </c>
      <c r="F657" s="3" t="s">
        <v>21</v>
      </c>
      <c r="G657" s="3" t="s">
        <v>11</v>
      </c>
      <c r="H657" s="3">
        <v>14347.0</v>
      </c>
      <c r="I657" s="3" t="s">
        <v>47</v>
      </c>
      <c r="J657" s="3">
        <v>0.3</v>
      </c>
      <c r="K657" s="3">
        <v>13000.0</v>
      </c>
      <c r="L657" s="15" t="s">
        <v>177</v>
      </c>
      <c r="M657" s="3" t="str">
        <f t="shared" si="1"/>
        <v>Target Achieved</v>
      </c>
      <c r="N657" s="10">
        <f t="shared" si="2"/>
        <v>0.5115606936</v>
      </c>
      <c r="O657" s="11">
        <f t="shared" si="3"/>
        <v>0.3</v>
      </c>
      <c r="P657" s="12">
        <f t="shared" si="4"/>
        <v>10042.9</v>
      </c>
    </row>
    <row r="658" ht="12.75" customHeight="1">
      <c r="A658" s="3" t="s">
        <v>987</v>
      </c>
      <c r="B658" s="3" t="s">
        <v>392</v>
      </c>
      <c r="C658" s="3" t="s">
        <v>18</v>
      </c>
      <c r="D658" s="3" t="s">
        <v>16</v>
      </c>
      <c r="E658" s="3" t="s">
        <v>20</v>
      </c>
      <c r="F658" s="3" t="s">
        <v>41</v>
      </c>
      <c r="G658" s="3" t="s">
        <v>11</v>
      </c>
      <c r="H658" s="3">
        <v>12678.0</v>
      </c>
      <c r="I658" s="3" t="s">
        <v>23</v>
      </c>
      <c r="J658" s="3">
        <v>0.2</v>
      </c>
      <c r="K658" s="3">
        <v>14000.0</v>
      </c>
      <c r="L658" s="15" t="s">
        <v>109</v>
      </c>
      <c r="M658" s="3" t="str">
        <f t="shared" si="1"/>
        <v>Below Target</v>
      </c>
      <c r="N658" s="10">
        <f t="shared" si="2"/>
        <v>0.5101449275</v>
      </c>
      <c r="O658" s="11">
        <f t="shared" si="3"/>
        <v>0.2</v>
      </c>
      <c r="P658" s="12">
        <f t="shared" si="4"/>
        <v>10142.4</v>
      </c>
    </row>
    <row r="659" ht="12.75" customHeight="1">
      <c r="A659" s="3" t="s">
        <v>988</v>
      </c>
      <c r="B659" s="3" t="s">
        <v>255</v>
      </c>
      <c r="C659" s="3" t="s">
        <v>45</v>
      </c>
      <c r="D659" s="3" t="s">
        <v>22</v>
      </c>
      <c r="E659" s="3" t="s">
        <v>46</v>
      </c>
      <c r="F659" s="3" t="s">
        <v>41</v>
      </c>
      <c r="G659" s="3" t="s">
        <v>13</v>
      </c>
      <c r="H659" s="3">
        <v>15644.0</v>
      </c>
      <c r="I659" s="3" t="s">
        <v>47</v>
      </c>
      <c r="J659" s="3">
        <v>0.3</v>
      </c>
      <c r="K659" s="3">
        <v>17000.0</v>
      </c>
      <c r="L659" s="15" t="s">
        <v>130</v>
      </c>
      <c r="M659" s="3" t="str">
        <f t="shared" si="1"/>
        <v>Below Target</v>
      </c>
      <c r="N659" s="10">
        <f t="shared" si="2"/>
        <v>0.511627907</v>
      </c>
      <c r="O659" s="11">
        <f t="shared" si="3"/>
        <v>0.3</v>
      </c>
      <c r="P659" s="12">
        <f t="shared" si="4"/>
        <v>10950.8</v>
      </c>
    </row>
    <row r="660" ht="12.75" customHeight="1">
      <c r="A660" s="3" t="s">
        <v>989</v>
      </c>
      <c r="B660" s="3" t="s">
        <v>471</v>
      </c>
      <c r="C660" s="3" t="s">
        <v>18</v>
      </c>
      <c r="D660" s="3" t="s">
        <v>16</v>
      </c>
      <c r="E660" s="3" t="s">
        <v>20</v>
      </c>
      <c r="F660" s="3" t="s">
        <v>41</v>
      </c>
      <c r="G660" s="3" t="s">
        <v>11</v>
      </c>
      <c r="H660" s="3">
        <v>15322.0</v>
      </c>
      <c r="I660" s="3" t="s">
        <v>47</v>
      </c>
      <c r="J660" s="3">
        <v>0.3</v>
      </c>
      <c r="K660" s="3">
        <v>14000.0</v>
      </c>
      <c r="L660" s="3" t="s">
        <v>319</v>
      </c>
      <c r="M660" s="3" t="str">
        <f t="shared" si="1"/>
        <v>Target Achieved</v>
      </c>
      <c r="N660" s="10">
        <f t="shared" si="2"/>
        <v>0.5131195335</v>
      </c>
      <c r="O660" s="11">
        <f t="shared" si="3"/>
        <v>0.3</v>
      </c>
      <c r="P660" s="12">
        <f t="shared" si="4"/>
        <v>10725.4</v>
      </c>
    </row>
    <row r="661" ht="12.75" customHeight="1">
      <c r="A661" s="3" t="s">
        <v>990</v>
      </c>
      <c r="B661" s="3" t="s">
        <v>305</v>
      </c>
      <c r="C661" s="3" t="s">
        <v>76</v>
      </c>
      <c r="D661" s="3" t="s">
        <v>24</v>
      </c>
      <c r="E661" s="3" t="s">
        <v>58</v>
      </c>
      <c r="F661" s="3" t="s">
        <v>41</v>
      </c>
      <c r="G661" s="3" t="s">
        <v>12</v>
      </c>
      <c r="H661" s="3">
        <v>7660.0</v>
      </c>
      <c r="K661" s="3">
        <v>9000.0</v>
      </c>
      <c r="L661" s="15" t="s">
        <v>211</v>
      </c>
      <c r="M661" s="3" t="str">
        <f t="shared" si="1"/>
        <v>Below Target</v>
      </c>
      <c r="N661" s="10">
        <f t="shared" si="2"/>
        <v>0.5116959064</v>
      </c>
      <c r="O661" s="11">
        <f t="shared" si="3"/>
        <v>0</v>
      </c>
      <c r="P661" s="12">
        <f t="shared" si="4"/>
        <v>7660</v>
      </c>
    </row>
    <row r="662" ht="12.75" customHeight="1">
      <c r="A662" s="3" t="s">
        <v>991</v>
      </c>
      <c r="B662" s="3" t="s">
        <v>600</v>
      </c>
      <c r="C662" s="3" t="s">
        <v>57</v>
      </c>
      <c r="D662" s="3" t="s">
        <v>19</v>
      </c>
      <c r="E662" s="3" t="s">
        <v>20</v>
      </c>
      <c r="F662" s="3" t="s">
        <v>52</v>
      </c>
      <c r="G662" s="3" t="s">
        <v>13</v>
      </c>
      <c r="H662" s="3">
        <v>11551.0</v>
      </c>
      <c r="I662" s="3" t="s">
        <v>42</v>
      </c>
      <c r="K662" s="3">
        <v>13000.0</v>
      </c>
      <c r="L662" s="15" t="s">
        <v>341</v>
      </c>
      <c r="M662" s="3" t="str">
        <f t="shared" si="1"/>
        <v>Below Target</v>
      </c>
      <c r="N662" s="10">
        <f t="shared" si="2"/>
        <v>0.5131964809</v>
      </c>
      <c r="O662" s="11" t="str">
        <f t="shared" si="3"/>
        <v/>
      </c>
      <c r="P662" s="12">
        <f t="shared" si="4"/>
        <v>9818.35</v>
      </c>
    </row>
    <row r="663" ht="12.75" customHeight="1">
      <c r="A663" s="3" t="s">
        <v>992</v>
      </c>
      <c r="B663" s="3" t="s">
        <v>75</v>
      </c>
      <c r="C663" s="3" t="s">
        <v>57</v>
      </c>
      <c r="D663" s="3" t="s">
        <v>19</v>
      </c>
      <c r="E663" s="3" t="s">
        <v>46</v>
      </c>
      <c r="F663" s="3" t="s">
        <v>41</v>
      </c>
      <c r="G663" s="3" t="s">
        <v>11</v>
      </c>
      <c r="H663" s="3">
        <v>14778.0</v>
      </c>
      <c r="I663" s="3" t="s">
        <v>23</v>
      </c>
      <c r="J663" s="3">
        <v>0.2</v>
      </c>
      <c r="K663" s="3">
        <v>13000.0</v>
      </c>
      <c r="L663" s="15" t="s">
        <v>344</v>
      </c>
      <c r="M663" s="3" t="str">
        <f t="shared" si="1"/>
        <v>Target Achieved</v>
      </c>
      <c r="N663" s="10">
        <f t="shared" si="2"/>
        <v>0.5147058824</v>
      </c>
      <c r="O663" s="11">
        <f t="shared" si="3"/>
        <v>0.2</v>
      </c>
      <c r="P663" s="12">
        <f t="shared" si="4"/>
        <v>11822.4</v>
      </c>
    </row>
    <row r="664" ht="12.75" customHeight="1">
      <c r="A664" s="3" t="s">
        <v>993</v>
      </c>
      <c r="B664" s="3" t="s">
        <v>717</v>
      </c>
      <c r="C664" s="3" t="s">
        <v>18</v>
      </c>
      <c r="D664" s="3" t="s">
        <v>16</v>
      </c>
      <c r="E664" s="3" t="s">
        <v>20</v>
      </c>
      <c r="F664" s="3" t="s">
        <v>52</v>
      </c>
      <c r="G664" s="3" t="s">
        <v>12</v>
      </c>
      <c r="H664" s="3">
        <v>15364.0</v>
      </c>
      <c r="I664" s="3" t="s">
        <v>47</v>
      </c>
      <c r="J664" s="3">
        <v>0.3</v>
      </c>
      <c r="K664" s="3">
        <v>14000.0</v>
      </c>
      <c r="L664" s="15" t="s">
        <v>183</v>
      </c>
      <c r="M664" s="3" t="str">
        <f t="shared" si="1"/>
        <v>Target Achieved</v>
      </c>
      <c r="N664" s="10">
        <f t="shared" si="2"/>
        <v>0.5132743363</v>
      </c>
      <c r="O664" s="11">
        <f t="shared" si="3"/>
        <v>0.3</v>
      </c>
      <c r="P664" s="12">
        <f t="shared" si="4"/>
        <v>10754.8</v>
      </c>
    </row>
    <row r="665" ht="12.75" customHeight="1">
      <c r="A665" s="3" t="s">
        <v>994</v>
      </c>
      <c r="B665" s="3" t="s">
        <v>310</v>
      </c>
      <c r="C665" s="3" t="s">
        <v>76</v>
      </c>
      <c r="D665" s="3" t="s">
        <v>24</v>
      </c>
      <c r="E665" s="3" t="s">
        <v>20</v>
      </c>
      <c r="F665" s="3" t="s">
        <v>21</v>
      </c>
      <c r="G665" s="3" t="s">
        <v>11</v>
      </c>
      <c r="H665" s="3">
        <v>7698.0</v>
      </c>
      <c r="I665" s="3" t="s">
        <v>23</v>
      </c>
      <c r="J665" s="3">
        <v>0.2</v>
      </c>
      <c r="K665" s="3">
        <v>9000.0</v>
      </c>
      <c r="L665" s="3" t="s">
        <v>106</v>
      </c>
      <c r="M665" s="3" t="str">
        <f t="shared" si="1"/>
        <v>Below Target</v>
      </c>
      <c r="N665" s="10">
        <f t="shared" si="2"/>
        <v>0.5118343195</v>
      </c>
      <c r="O665" s="11">
        <f t="shared" si="3"/>
        <v>0.2</v>
      </c>
      <c r="P665" s="12">
        <f t="shared" si="4"/>
        <v>6158.4</v>
      </c>
    </row>
    <row r="666" ht="12.75" customHeight="1">
      <c r="A666" s="3" t="s">
        <v>995</v>
      </c>
      <c r="B666" s="3" t="s">
        <v>717</v>
      </c>
      <c r="C666" s="3" t="s">
        <v>57</v>
      </c>
      <c r="D666" s="3" t="s">
        <v>19</v>
      </c>
      <c r="E666" s="3" t="s">
        <v>20</v>
      </c>
      <c r="F666" s="3" t="s">
        <v>41</v>
      </c>
      <c r="G666" s="3" t="s">
        <v>12</v>
      </c>
      <c r="H666" s="3">
        <v>13701.0</v>
      </c>
      <c r="I666" s="3" t="s">
        <v>42</v>
      </c>
      <c r="K666" s="3">
        <v>13000.0</v>
      </c>
      <c r="L666" s="3" t="s">
        <v>320</v>
      </c>
      <c r="M666" s="3" t="str">
        <f t="shared" si="1"/>
        <v>Target Achieved</v>
      </c>
      <c r="N666" s="10">
        <f t="shared" si="2"/>
        <v>0.5133531157</v>
      </c>
      <c r="O666" s="11" t="str">
        <f t="shared" si="3"/>
        <v/>
      </c>
      <c r="P666" s="12">
        <f t="shared" si="4"/>
        <v>11645.85</v>
      </c>
    </row>
    <row r="667" ht="12.75" customHeight="1">
      <c r="A667" s="3" t="s">
        <v>996</v>
      </c>
      <c r="B667" s="3" t="s">
        <v>372</v>
      </c>
      <c r="C667" s="3" t="s">
        <v>45</v>
      </c>
      <c r="D667" s="3" t="s">
        <v>22</v>
      </c>
      <c r="E667" s="3" t="s">
        <v>58</v>
      </c>
      <c r="F667" s="3" t="s">
        <v>52</v>
      </c>
      <c r="G667" s="3" t="s">
        <v>12</v>
      </c>
      <c r="H667" s="3">
        <v>15281.0</v>
      </c>
      <c r="I667" s="3" t="s">
        <v>23</v>
      </c>
      <c r="J667" s="3">
        <v>0.2</v>
      </c>
      <c r="K667" s="3">
        <v>17000.0</v>
      </c>
      <c r="L667" s="3" t="s">
        <v>88</v>
      </c>
      <c r="M667" s="3" t="str">
        <f t="shared" si="1"/>
        <v>Below Target</v>
      </c>
      <c r="N667" s="10">
        <f t="shared" si="2"/>
        <v>0.5119047619</v>
      </c>
      <c r="O667" s="11">
        <f t="shared" si="3"/>
        <v>0.2</v>
      </c>
      <c r="P667" s="12">
        <f t="shared" si="4"/>
        <v>12224.8</v>
      </c>
    </row>
    <row r="668" ht="12.75" customHeight="1">
      <c r="A668" s="3" t="s">
        <v>997</v>
      </c>
      <c r="B668" s="3" t="s">
        <v>237</v>
      </c>
      <c r="C668" s="3" t="s">
        <v>18</v>
      </c>
      <c r="D668" s="3" t="s">
        <v>16</v>
      </c>
      <c r="E668" s="3" t="s">
        <v>46</v>
      </c>
      <c r="F668" s="3" t="s">
        <v>41</v>
      </c>
      <c r="G668" s="3" t="s">
        <v>12</v>
      </c>
      <c r="H668" s="3">
        <v>15520.0</v>
      </c>
      <c r="I668" s="3" t="s">
        <v>42</v>
      </c>
      <c r="K668" s="3">
        <v>14000.0</v>
      </c>
      <c r="L668" s="3" t="s">
        <v>238</v>
      </c>
      <c r="M668" s="3" t="str">
        <f t="shared" si="1"/>
        <v>Target Achieved</v>
      </c>
      <c r="N668" s="10">
        <f t="shared" si="2"/>
        <v>0.5134328358</v>
      </c>
      <c r="O668" s="11" t="str">
        <f t="shared" si="3"/>
        <v/>
      </c>
      <c r="P668" s="12">
        <f t="shared" si="4"/>
        <v>13192</v>
      </c>
    </row>
    <row r="669" ht="12.75" customHeight="1">
      <c r="A669" s="3" t="s">
        <v>998</v>
      </c>
      <c r="B669" s="3" t="s">
        <v>405</v>
      </c>
      <c r="C669" s="3" t="s">
        <v>57</v>
      </c>
      <c r="D669" s="3" t="s">
        <v>19</v>
      </c>
      <c r="E669" s="3" t="s">
        <v>20</v>
      </c>
      <c r="F669" s="3" t="s">
        <v>41</v>
      </c>
      <c r="G669" s="3" t="s">
        <v>13</v>
      </c>
      <c r="H669" s="3">
        <v>12949.0</v>
      </c>
      <c r="I669" s="3" t="s">
        <v>42</v>
      </c>
      <c r="K669" s="3">
        <v>13000.0</v>
      </c>
      <c r="L669" s="15" t="s">
        <v>130</v>
      </c>
      <c r="M669" s="3" t="str">
        <f t="shared" si="1"/>
        <v>Below Target</v>
      </c>
      <c r="N669" s="10">
        <f t="shared" si="2"/>
        <v>0.5119760479</v>
      </c>
      <c r="O669" s="11" t="str">
        <f t="shared" si="3"/>
        <v/>
      </c>
      <c r="P669" s="12">
        <f t="shared" si="4"/>
        <v>11006.65</v>
      </c>
    </row>
    <row r="670" ht="12.75" customHeight="1">
      <c r="A670" s="3" t="s">
        <v>999</v>
      </c>
      <c r="B670" s="3" t="s">
        <v>417</v>
      </c>
      <c r="C670" s="3" t="s">
        <v>18</v>
      </c>
      <c r="D670" s="3" t="s">
        <v>16</v>
      </c>
      <c r="E670" s="3" t="s">
        <v>46</v>
      </c>
      <c r="F670" s="3" t="s">
        <v>21</v>
      </c>
      <c r="G670" s="3" t="s">
        <v>12</v>
      </c>
      <c r="H670" s="3">
        <v>12533.0</v>
      </c>
      <c r="I670" s="3" t="s">
        <v>42</v>
      </c>
      <c r="K670" s="3">
        <v>14000.0</v>
      </c>
      <c r="L670" s="15" t="s">
        <v>348</v>
      </c>
      <c r="M670" s="3" t="str">
        <f t="shared" si="1"/>
        <v>Below Target</v>
      </c>
      <c r="N670" s="10">
        <f t="shared" si="2"/>
        <v>0.5135135135</v>
      </c>
      <c r="O670" s="11" t="str">
        <f t="shared" si="3"/>
        <v/>
      </c>
      <c r="P670" s="12">
        <f t="shared" si="4"/>
        <v>10653.05</v>
      </c>
    </row>
    <row r="671" ht="12.75" customHeight="1">
      <c r="A671" s="3" t="s">
        <v>1000</v>
      </c>
      <c r="B671" s="3" t="s">
        <v>776</v>
      </c>
      <c r="C671" s="3" t="s">
        <v>76</v>
      </c>
      <c r="D671" s="3" t="s">
        <v>24</v>
      </c>
      <c r="E671" s="3" t="s">
        <v>20</v>
      </c>
      <c r="F671" s="3" t="s">
        <v>21</v>
      </c>
      <c r="G671" s="3" t="s">
        <v>11</v>
      </c>
      <c r="H671" s="3">
        <v>10583.0</v>
      </c>
      <c r="I671" s="3" t="s">
        <v>37</v>
      </c>
      <c r="J671" s="3">
        <v>0.1</v>
      </c>
      <c r="K671" s="3">
        <v>9000.0</v>
      </c>
      <c r="L671" s="3" t="s">
        <v>96</v>
      </c>
      <c r="M671" s="3" t="str">
        <f t="shared" si="1"/>
        <v>Target Achieved</v>
      </c>
      <c r="N671" s="10">
        <f t="shared" si="2"/>
        <v>0.515060241</v>
      </c>
      <c r="O671" s="11">
        <f t="shared" si="3"/>
        <v>0.1</v>
      </c>
      <c r="P671" s="12">
        <f t="shared" si="4"/>
        <v>9524.7</v>
      </c>
    </row>
    <row r="672" ht="12.75" customHeight="1">
      <c r="A672" s="3" t="s">
        <v>1001</v>
      </c>
      <c r="B672" s="3" t="s">
        <v>488</v>
      </c>
      <c r="C672" s="3" t="s">
        <v>57</v>
      </c>
      <c r="D672" s="3" t="s">
        <v>19</v>
      </c>
      <c r="E672" s="3" t="s">
        <v>58</v>
      </c>
      <c r="F672" s="3" t="s">
        <v>21</v>
      </c>
      <c r="G672" s="3" t="s">
        <v>11</v>
      </c>
      <c r="H672" s="3">
        <v>13412.0</v>
      </c>
      <c r="I672" s="3" t="s">
        <v>42</v>
      </c>
      <c r="K672" s="3">
        <v>13000.0</v>
      </c>
      <c r="L672" s="15" t="s">
        <v>234</v>
      </c>
      <c r="M672" s="3" t="str">
        <f t="shared" si="1"/>
        <v>Target Achieved</v>
      </c>
      <c r="N672" s="10">
        <f t="shared" si="2"/>
        <v>0.5135951662</v>
      </c>
      <c r="O672" s="11" t="str">
        <f t="shared" si="3"/>
        <v/>
      </c>
      <c r="P672" s="12">
        <f t="shared" si="4"/>
        <v>11400.2</v>
      </c>
    </row>
    <row r="673" ht="12.75" customHeight="1">
      <c r="A673" s="3" t="s">
        <v>1002</v>
      </c>
      <c r="B673" s="3" t="s">
        <v>237</v>
      </c>
      <c r="C673" s="3" t="s">
        <v>45</v>
      </c>
      <c r="D673" s="3" t="s">
        <v>22</v>
      </c>
      <c r="E673" s="3" t="s">
        <v>58</v>
      </c>
      <c r="F673" s="3" t="s">
        <v>41</v>
      </c>
      <c r="G673" s="3" t="s">
        <v>13</v>
      </c>
      <c r="H673" s="3">
        <v>16160.0</v>
      </c>
      <c r="I673" s="3" t="s">
        <v>42</v>
      </c>
      <c r="K673" s="3">
        <v>17000.0</v>
      </c>
      <c r="L673" s="3" t="s">
        <v>337</v>
      </c>
      <c r="M673" s="3" t="str">
        <f t="shared" si="1"/>
        <v>Below Target</v>
      </c>
      <c r="N673" s="10">
        <f t="shared" si="2"/>
        <v>0.5121212121</v>
      </c>
      <c r="O673" s="11" t="str">
        <f t="shared" si="3"/>
        <v/>
      </c>
      <c r="P673" s="12">
        <f t="shared" si="4"/>
        <v>13736</v>
      </c>
    </row>
    <row r="674" ht="12.75" customHeight="1">
      <c r="A674" s="3" t="s">
        <v>1003</v>
      </c>
      <c r="B674" s="3" t="s">
        <v>488</v>
      </c>
      <c r="C674" s="3" t="s">
        <v>45</v>
      </c>
      <c r="D674" s="3" t="s">
        <v>22</v>
      </c>
      <c r="E674" s="3" t="s">
        <v>46</v>
      </c>
      <c r="F674" s="3" t="s">
        <v>41</v>
      </c>
      <c r="G674" s="3" t="s">
        <v>12</v>
      </c>
      <c r="H674" s="3">
        <v>18045.0</v>
      </c>
      <c r="I674" s="3" t="s">
        <v>37</v>
      </c>
      <c r="J674" s="3">
        <v>0.1</v>
      </c>
      <c r="K674" s="3">
        <v>17000.0</v>
      </c>
      <c r="L674" s="15" t="s">
        <v>352</v>
      </c>
      <c r="M674" s="3" t="str">
        <f t="shared" si="1"/>
        <v>Target Achieved</v>
      </c>
      <c r="N674" s="10">
        <f t="shared" si="2"/>
        <v>0.5136778116</v>
      </c>
      <c r="O674" s="11">
        <f t="shared" si="3"/>
        <v>0.1</v>
      </c>
      <c r="P674" s="12">
        <f t="shared" si="4"/>
        <v>16240.5</v>
      </c>
    </row>
    <row r="675" ht="12.75" customHeight="1">
      <c r="A675" s="3" t="s">
        <v>1004</v>
      </c>
      <c r="B675" s="3" t="s">
        <v>1005</v>
      </c>
      <c r="C675" s="3" t="s">
        <v>18</v>
      </c>
      <c r="D675" s="3" t="s">
        <v>16</v>
      </c>
      <c r="E675" s="3" t="s">
        <v>58</v>
      </c>
      <c r="F675" s="3" t="s">
        <v>52</v>
      </c>
      <c r="G675" s="3" t="s">
        <v>13</v>
      </c>
      <c r="H675" s="3">
        <v>14817.0</v>
      </c>
      <c r="I675" s="3" t="s">
        <v>47</v>
      </c>
      <c r="J675" s="3">
        <v>0.3</v>
      </c>
      <c r="K675" s="3">
        <v>14000.0</v>
      </c>
      <c r="L675" s="3" t="s">
        <v>68</v>
      </c>
      <c r="M675" s="3" t="str">
        <f t="shared" si="1"/>
        <v>Target Achieved</v>
      </c>
      <c r="N675" s="10">
        <f t="shared" si="2"/>
        <v>0.512195122</v>
      </c>
      <c r="O675" s="11">
        <f t="shared" si="3"/>
        <v>0.3</v>
      </c>
      <c r="P675" s="12">
        <f t="shared" si="4"/>
        <v>10371.9</v>
      </c>
    </row>
    <row r="676" ht="12.75" customHeight="1">
      <c r="A676" s="3" t="s">
        <v>1006</v>
      </c>
      <c r="B676" s="3" t="s">
        <v>152</v>
      </c>
      <c r="C676" s="3" t="s">
        <v>57</v>
      </c>
      <c r="D676" s="3" t="s">
        <v>19</v>
      </c>
      <c r="E676" s="3" t="s">
        <v>58</v>
      </c>
      <c r="F676" s="3" t="s">
        <v>52</v>
      </c>
      <c r="G676" s="3" t="s">
        <v>12</v>
      </c>
      <c r="H676" s="3">
        <v>12038.0</v>
      </c>
      <c r="I676" s="3" t="s">
        <v>47</v>
      </c>
      <c r="J676" s="3">
        <v>0.3</v>
      </c>
      <c r="K676" s="3">
        <v>13000.0</v>
      </c>
      <c r="L676" s="3" t="s">
        <v>77</v>
      </c>
      <c r="M676" s="3" t="str">
        <f t="shared" si="1"/>
        <v>Below Target</v>
      </c>
      <c r="N676" s="10">
        <f t="shared" si="2"/>
        <v>0.5107033639</v>
      </c>
      <c r="O676" s="11">
        <f t="shared" si="3"/>
        <v>0.3</v>
      </c>
      <c r="P676" s="12">
        <f t="shared" si="4"/>
        <v>8426.6</v>
      </c>
    </row>
    <row r="677" ht="12.75" customHeight="1">
      <c r="A677" s="3" t="s">
        <v>1007</v>
      </c>
      <c r="B677" s="3" t="s">
        <v>488</v>
      </c>
      <c r="C677" s="3" t="s">
        <v>45</v>
      </c>
      <c r="D677" s="3" t="s">
        <v>22</v>
      </c>
      <c r="E677" s="3" t="s">
        <v>20</v>
      </c>
      <c r="F677" s="3" t="s">
        <v>21</v>
      </c>
      <c r="G677" s="3" t="s">
        <v>12</v>
      </c>
      <c r="H677" s="3">
        <v>16627.0</v>
      </c>
      <c r="I677" s="3" t="s">
        <v>23</v>
      </c>
      <c r="J677" s="3">
        <v>0.2</v>
      </c>
      <c r="K677" s="3">
        <v>17000.0</v>
      </c>
      <c r="L677" s="3" t="s">
        <v>68</v>
      </c>
      <c r="M677" s="3" t="str">
        <f t="shared" si="1"/>
        <v>Below Target</v>
      </c>
      <c r="N677" s="10">
        <f t="shared" si="2"/>
        <v>0.5122699387</v>
      </c>
      <c r="O677" s="11">
        <f t="shared" si="3"/>
        <v>0.2</v>
      </c>
      <c r="P677" s="12">
        <f t="shared" si="4"/>
        <v>13301.6</v>
      </c>
    </row>
    <row r="678" ht="12.75" customHeight="1">
      <c r="A678" s="3" t="s">
        <v>1008</v>
      </c>
      <c r="B678" s="3" t="s">
        <v>108</v>
      </c>
      <c r="C678" s="3" t="s">
        <v>76</v>
      </c>
      <c r="D678" s="3" t="s">
        <v>24</v>
      </c>
      <c r="E678" s="3" t="s">
        <v>46</v>
      </c>
      <c r="F678" s="3" t="s">
        <v>21</v>
      </c>
      <c r="G678" s="3" t="s">
        <v>12</v>
      </c>
      <c r="H678" s="3">
        <v>9272.0</v>
      </c>
      <c r="K678" s="3">
        <v>9000.0</v>
      </c>
      <c r="L678" s="3" t="s">
        <v>320</v>
      </c>
      <c r="M678" s="3" t="str">
        <f t="shared" si="1"/>
        <v>Target Achieved</v>
      </c>
      <c r="N678" s="10">
        <f t="shared" si="2"/>
        <v>0.5138461538</v>
      </c>
      <c r="O678" s="11">
        <f t="shared" si="3"/>
        <v>0</v>
      </c>
      <c r="P678" s="12">
        <f t="shared" si="4"/>
        <v>9272</v>
      </c>
    </row>
    <row r="679" ht="12.75" customHeight="1">
      <c r="A679" s="3" t="s">
        <v>1009</v>
      </c>
      <c r="B679" s="3" t="s">
        <v>154</v>
      </c>
      <c r="C679" s="3" t="s">
        <v>45</v>
      </c>
      <c r="D679" s="3" t="s">
        <v>22</v>
      </c>
      <c r="E679" s="3" t="s">
        <v>20</v>
      </c>
      <c r="F679" s="3" t="s">
        <v>21</v>
      </c>
      <c r="G679" s="3" t="s">
        <v>12</v>
      </c>
      <c r="H679" s="3">
        <v>15565.0</v>
      </c>
      <c r="I679" s="3" t="s">
        <v>37</v>
      </c>
      <c r="J679" s="3">
        <v>0.1</v>
      </c>
      <c r="K679" s="3">
        <v>17000.0</v>
      </c>
      <c r="L679" s="3" t="s">
        <v>38</v>
      </c>
      <c r="M679" s="3" t="str">
        <f t="shared" si="1"/>
        <v>Below Target</v>
      </c>
      <c r="N679" s="10">
        <f t="shared" si="2"/>
        <v>0.512345679</v>
      </c>
      <c r="O679" s="11">
        <f t="shared" si="3"/>
        <v>0.1</v>
      </c>
      <c r="P679" s="12">
        <f t="shared" si="4"/>
        <v>14008.5</v>
      </c>
    </row>
    <row r="680" ht="12.75" customHeight="1">
      <c r="A680" s="3" t="s">
        <v>1010</v>
      </c>
      <c r="B680" s="3" t="s">
        <v>44</v>
      </c>
      <c r="C680" s="3" t="s">
        <v>57</v>
      </c>
      <c r="D680" s="3" t="s">
        <v>19</v>
      </c>
      <c r="E680" s="3" t="s">
        <v>46</v>
      </c>
      <c r="F680" s="3" t="s">
        <v>41</v>
      </c>
      <c r="G680" s="3" t="s">
        <v>12</v>
      </c>
      <c r="H680" s="3">
        <v>12640.0</v>
      </c>
      <c r="I680" s="3" t="s">
        <v>47</v>
      </c>
      <c r="J680" s="3">
        <v>0.3</v>
      </c>
      <c r="K680" s="3">
        <v>13000.0</v>
      </c>
      <c r="L680" s="3" t="s">
        <v>330</v>
      </c>
      <c r="M680" s="3" t="str">
        <f t="shared" si="1"/>
        <v>Below Target</v>
      </c>
      <c r="N680" s="10">
        <f t="shared" si="2"/>
        <v>0.5139318885</v>
      </c>
      <c r="O680" s="11">
        <f t="shared" si="3"/>
        <v>0.3</v>
      </c>
      <c r="P680" s="12">
        <f t="shared" si="4"/>
        <v>8848</v>
      </c>
    </row>
    <row r="681" ht="12.75" customHeight="1">
      <c r="A681" s="3" t="s">
        <v>1011</v>
      </c>
      <c r="B681" s="3" t="s">
        <v>482</v>
      </c>
      <c r="C681" s="3" t="s">
        <v>18</v>
      </c>
      <c r="D681" s="3" t="s">
        <v>16</v>
      </c>
      <c r="E681" s="3" t="s">
        <v>46</v>
      </c>
      <c r="F681" s="3" t="s">
        <v>21</v>
      </c>
      <c r="G681" s="3" t="s">
        <v>12</v>
      </c>
      <c r="H681" s="3">
        <v>12021.0</v>
      </c>
      <c r="I681" s="3" t="s">
        <v>37</v>
      </c>
      <c r="J681" s="3">
        <v>0.1</v>
      </c>
      <c r="K681" s="3">
        <v>14000.0</v>
      </c>
      <c r="L681" s="3" t="s">
        <v>333</v>
      </c>
      <c r="M681" s="3" t="str">
        <f t="shared" si="1"/>
        <v>Below Target</v>
      </c>
      <c r="N681" s="10">
        <f t="shared" si="2"/>
        <v>0.5155279503</v>
      </c>
      <c r="O681" s="11">
        <f t="shared" si="3"/>
        <v>0.1</v>
      </c>
      <c r="P681" s="12">
        <f t="shared" si="4"/>
        <v>10818.9</v>
      </c>
    </row>
    <row r="682" ht="12.75" customHeight="1">
      <c r="A682" s="3" t="s">
        <v>1012</v>
      </c>
      <c r="B682" s="3" t="s">
        <v>529</v>
      </c>
      <c r="C682" s="3" t="s">
        <v>76</v>
      </c>
      <c r="D682" s="3" t="s">
        <v>24</v>
      </c>
      <c r="E682" s="3" t="s">
        <v>46</v>
      </c>
      <c r="F682" s="3" t="s">
        <v>41</v>
      </c>
      <c r="G682" s="3" t="s">
        <v>11</v>
      </c>
      <c r="H682" s="3">
        <v>7908.0</v>
      </c>
      <c r="I682" s="3" t="s">
        <v>47</v>
      </c>
      <c r="J682" s="3">
        <v>0.3</v>
      </c>
      <c r="K682" s="3">
        <v>9000.0</v>
      </c>
      <c r="L682" s="15" t="s">
        <v>123</v>
      </c>
      <c r="M682" s="3" t="str">
        <f t="shared" si="1"/>
        <v>Below Target</v>
      </c>
      <c r="N682" s="10">
        <f t="shared" si="2"/>
        <v>0.5171339564</v>
      </c>
      <c r="O682" s="11">
        <f t="shared" si="3"/>
        <v>0.3</v>
      </c>
      <c r="P682" s="12">
        <f t="shared" si="4"/>
        <v>5535.6</v>
      </c>
    </row>
    <row r="683" ht="12.75" customHeight="1">
      <c r="A683" s="3" t="s">
        <v>1013</v>
      </c>
      <c r="B683" s="3" t="s">
        <v>459</v>
      </c>
      <c r="C683" s="3" t="s">
        <v>76</v>
      </c>
      <c r="D683" s="3" t="s">
        <v>24</v>
      </c>
      <c r="E683" s="3" t="s">
        <v>58</v>
      </c>
      <c r="F683" s="3" t="s">
        <v>52</v>
      </c>
      <c r="G683" s="3" t="s">
        <v>12</v>
      </c>
      <c r="H683" s="3">
        <v>9134.0</v>
      </c>
      <c r="I683" s="3" t="s">
        <v>47</v>
      </c>
      <c r="J683" s="3">
        <v>0.3</v>
      </c>
      <c r="K683" s="3">
        <v>9000.0</v>
      </c>
      <c r="L683" s="3" t="s">
        <v>83</v>
      </c>
      <c r="M683" s="3" t="str">
        <f t="shared" si="1"/>
        <v>Target Achieved</v>
      </c>
      <c r="N683" s="10">
        <f t="shared" si="2"/>
        <v>0.51875</v>
      </c>
      <c r="O683" s="11">
        <f t="shared" si="3"/>
        <v>0.3</v>
      </c>
      <c r="P683" s="12">
        <f t="shared" si="4"/>
        <v>6393.8</v>
      </c>
    </row>
    <row r="684" ht="12.75" customHeight="1">
      <c r="A684" s="3" t="s">
        <v>1014</v>
      </c>
      <c r="B684" s="3" t="s">
        <v>459</v>
      </c>
      <c r="C684" s="3" t="s">
        <v>57</v>
      </c>
      <c r="D684" s="3" t="s">
        <v>19</v>
      </c>
      <c r="E684" s="3" t="s">
        <v>20</v>
      </c>
      <c r="F684" s="3" t="s">
        <v>21</v>
      </c>
      <c r="G684" s="3" t="s">
        <v>11</v>
      </c>
      <c r="H684" s="3">
        <v>11043.0</v>
      </c>
      <c r="I684" s="3" t="s">
        <v>23</v>
      </c>
      <c r="J684" s="3">
        <v>0.2</v>
      </c>
      <c r="K684" s="3">
        <v>13000.0</v>
      </c>
      <c r="L684" s="3" t="s">
        <v>77</v>
      </c>
      <c r="M684" s="3" t="str">
        <f t="shared" si="1"/>
        <v>Below Target</v>
      </c>
      <c r="N684" s="10">
        <f t="shared" si="2"/>
        <v>0.5172413793</v>
      </c>
      <c r="O684" s="11">
        <f t="shared" si="3"/>
        <v>0.2</v>
      </c>
      <c r="P684" s="12">
        <f t="shared" si="4"/>
        <v>8834.4</v>
      </c>
    </row>
    <row r="685" ht="12.75" customHeight="1">
      <c r="A685" s="3" t="s">
        <v>1015</v>
      </c>
      <c r="B685" s="3" t="s">
        <v>361</v>
      </c>
      <c r="C685" s="3" t="s">
        <v>45</v>
      </c>
      <c r="D685" s="3" t="s">
        <v>22</v>
      </c>
      <c r="E685" s="3" t="s">
        <v>46</v>
      </c>
      <c r="F685" s="3" t="s">
        <v>41</v>
      </c>
      <c r="G685" s="3" t="s">
        <v>12</v>
      </c>
      <c r="H685" s="3">
        <v>17091.0</v>
      </c>
      <c r="I685" s="3" t="s">
        <v>42</v>
      </c>
      <c r="K685" s="3">
        <v>17000.0</v>
      </c>
      <c r="L685" s="3" t="s">
        <v>96</v>
      </c>
      <c r="M685" s="3" t="str">
        <f t="shared" si="1"/>
        <v>Target Achieved</v>
      </c>
      <c r="N685" s="10">
        <f t="shared" si="2"/>
        <v>0.5188679245</v>
      </c>
      <c r="O685" s="11" t="str">
        <f t="shared" si="3"/>
        <v/>
      </c>
      <c r="P685" s="12">
        <f t="shared" si="4"/>
        <v>14527.35</v>
      </c>
    </row>
    <row r="686" ht="12.75" customHeight="1">
      <c r="A686" s="3" t="s">
        <v>1016</v>
      </c>
      <c r="B686" s="3" t="s">
        <v>70</v>
      </c>
      <c r="C686" s="3" t="s">
        <v>57</v>
      </c>
      <c r="D686" s="3" t="s">
        <v>19</v>
      </c>
      <c r="E686" s="3" t="s">
        <v>20</v>
      </c>
      <c r="F686" s="3" t="s">
        <v>41</v>
      </c>
      <c r="G686" s="3" t="s">
        <v>11</v>
      </c>
      <c r="H686" s="3">
        <v>11979.0</v>
      </c>
      <c r="I686" s="3" t="s">
        <v>37</v>
      </c>
      <c r="J686" s="3">
        <v>0.1</v>
      </c>
      <c r="K686" s="3">
        <v>13000.0</v>
      </c>
      <c r="L686" s="15" t="s">
        <v>103</v>
      </c>
      <c r="M686" s="3" t="str">
        <f t="shared" si="1"/>
        <v>Below Target</v>
      </c>
      <c r="N686" s="10">
        <f t="shared" si="2"/>
        <v>0.5173501577</v>
      </c>
      <c r="O686" s="11">
        <f t="shared" si="3"/>
        <v>0.1</v>
      </c>
      <c r="P686" s="12">
        <f t="shared" si="4"/>
        <v>10781.1</v>
      </c>
    </row>
    <row r="687" ht="12.75" customHeight="1">
      <c r="A687" s="3" t="s">
        <v>1017</v>
      </c>
      <c r="B687" s="3" t="s">
        <v>351</v>
      </c>
      <c r="C687" s="3" t="s">
        <v>76</v>
      </c>
      <c r="D687" s="3" t="s">
        <v>24</v>
      </c>
      <c r="E687" s="3" t="s">
        <v>58</v>
      </c>
      <c r="F687" s="3" t="s">
        <v>52</v>
      </c>
      <c r="G687" s="3" t="s">
        <v>11</v>
      </c>
      <c r="H687" s="3">
        <v>8660.0</v>
      </c>
      <c r="I687" s="3" t="s">
        <v>42</v>
      </c>
      <c r="K687" s="3">
        <v>9000.0</v>
      </c>
      <c r="L687" s="3" t="s">
        <v>164</v>
      </c>
      <c r="M687" s="3" t="str">
        <f t="shared" si="1"/>
        <v>Below Target</v>
      </c>
      <c r="N687" s="10">
        <f t="shared" si="2"/>
        <v>0.5189873418</v>
      </c>
      <c r="O687" s="11" t="str">
        <f t="shared" si="3"/>
        <v/>
      </c>
      <c r="P687" s="12">
        <f t="shared" si="4"/>
        <v>7361</v>
      </c>
    </row>
    <row r="688" ht="12.75" customHeight="1">
      <c r="A688" s="3" t="s">
        <v>1018</v>
      </c>
      <c r="B688" s="3" t="s">
        <v>233</v>
      </c>
      <c r="C688" s="3" t="s">
        <v>18</v>
      </c>
      <c r="D688" s="3" t="s">
        <v>16</v>
      </c>
      <c r="E688" s="3" t="s">
        <v>46</v>
      </c>
      <c r="F688" s="3" t="s">
        <v>52</v>
      </c>
      <c r="G688" s="3" t="s">
        <v>11</v>
      </c>
      <c r="H688" s="3">
        <v>14974.0</v>
      </c>
      <c r="I688" s="3" t="s">
        <v>42</v>
      </c>
      <c r="K688" s="3">
        <v>14000.0</v>
      </c>
      <c r="L688" s="3" t="s">
        <v>340</v>
      </c>
      <c r="M688" s="3" t="str">
        <f t="shared" si="1"/>
        <v>Target Achieved</v>
      </c>
      <c r="N688" s="10">
        <f t="shared" si="2"/>
        <v>0.5206349206</v>
      </c>
      <c r="O688" s="11" t="str">
        <f t="shared" si="3"/>
        <v/>
      </c>
      <c r="P688" s="12">
        <f t="shared" si="4"/>
        <v>12727.9</v>
      </c>
    </row>
    <row r="689" ht="12.75" customHeight="1">
      <c r="A689" s="3" t="s">
        <v>1019</v>
      </c>
      <c r="B689" s="3" t="s">
        <v>1020</v>
      </c>
      <c r="C689" s="3" t="s">
        <v>45</v>
      </c>
      <c r="D689" s="3" t="s">
        <v>22</v>
      </c>
      <c r="E689" s="3" t="s">
        <v>58</v>
      </c>
      <c r="F689" s="3" t="s">
        <v>41</v>
      </c>
      <c r="G689" s="3" t="s">
        <v>12</v>
      </c>
      <c r="H689" s="3">
        <v>18944.0</v>
      </c>
      <c r="I689" s="3" t="s">
        <v>23</v>
      </c>
      <c r="J689" s="3">
        <v>0.2</v>
      </c>
      <c r="K689" s="3">
        <v>17000.0</v>
      </c>
      <c r="L689" s="3" t="s">
        <v>345</v>
      </c>
      <c r="M689" s="3" t="str">
        <f t="shared" si="1"/>
        <v>Target Achieved</v>
      </c>
      <c r="N689" s="10">
        <f t="shared" si="2"/>
        <v>0.5191082803</v>
      </c>
      <c r="O689" s="11">
        <f t="shared" si="3"/>
        <v>0.2</v>
      </c>
      <c r="P689" s="12">
        <f t="shared" si="4"/>
        <v>15155.2</v>
      </c>
    </row>
    <row r="690" ht="12.75" customHeight="1">
      <c r="A690" s="3" t="s">
        <v>1021</v>
      </c>
      <c r="B690" s="3" t="s">
        <v>176</v>
      </c>
      <c r="C690" s="3" t="s">
        <v>18</v>
      </c>
      <c r="D690" s="3" t="s">
        <v>16</v>
      </c>
      <c r="E690" s="3" t="s">
        <v>58</v>
      </c>
      <c r="F690" s="3" t="s">
        <v>41</v>
      </c>
      <c r="G690" s="3" t="s">
        <v>11</v>
      </c>
      <c r="H690" s="3">
        <v>14073.0</v>
      </c>
      <c r="I690" s="3" t="s">
        <v>37</v>
      </c>
      <c r="J690" s="3">
        <v>0.1</v>
      </c>
      <c r="K690" s="3">
        <v>14000.0</v>
      </c>
      <c r="L690" s="15" t="s">
        <v>349</v>
      </c>
      <c r="M690" s="3" t="str">
        <f t="shared" si="1"/>
        <v>Target Achieved</v>
      </c>
      <c r="N690" s="10">
        <f t="shared" si="2"/>
        <v>0.517571885</v>
      </c>
      <c r="O690" s="11">
        <f t="shared" si="3"/>
        <v>0.1</v>
      </c>
      <c r="P690" s="12">
        <f t="shared" si="4"/>
        <v>12665.7</v>
      </c>
    </row>
    <row r="691" ht="12.75" customHeight="1">
      <c r="A691" s="3" t="s">
        <v>1022</v>
      </c>
      <c r="B691" s="3" t="s">
        <v>300</v>
      </c>
      <c r="C691" s="3" t="s">
        <v>45</v>
      </c>
      <c r="D691" s="3" t="s">
        <v>22</v>
      </c>
      <c r="E691" s="3" t="s">
        <v>58</v>
      </c>
      <c r="F691" s="3" t="s">
        <v>41</v>
      </c>
      <c r="G691" s="3" t="s">
        <v>12</v>
      </c>
      <c r="H691" s="3">
        <v>18918.0</v>
      </c>
      <c r="I691" s="3" t="s">
        <v>47</v>
      </c>
      <c r="J691" s="3">
        <v>0.3</v>
      </c>
      <c r="K691" s="3">
        <v>17000.0</v>
      </c>
      <c r="L691" s="3" t="s">
        <v>337</v>
      </c>
      <c r="M691" s="3" t="str">
        <f t="shared" si="1"/>
        <v>Target Achieved</v>
      </c>
      <c r="N691" s="10">
        <f t="shared" si="2"/>
        <v>0.516025641</v>
      </c>
      <c r="O691" s="11">
        <f t="shared" si="3"/>
        <v>0.3</v>
      </c>
      <c r="P691" s="12">
        <f t="shared" si="4"/>
        <v>13242.6</v>
      </c>
    </row>
    <row r="692" ht="12.75" customHeight="1">
      <c r="A692" s="3" t="s">
        <v>1023</v>
      </c>
      <c r="B692" s="3" t="s">
        <v>138</v>
      </c>
      <c r="C692" s="3" t="s">
        <v>45</v>
      </c>
      <c r="D692" s="3" t="s">
        <v>22</v>
      </c>
      <c r="E692" s="3" t="s">
        <v>20</v>
      </c>
      <c r="F692" s="3" t="s">
        <v>21</v>
      </c>
      <c r="G692" s="3" t="s">
        <v>11</v>
      </c>
      <c r="H692" s="3">
        <v>17306.0</v>
      </c>
      <c r="K692" s="3">
        <v>17000.0</v>
      </c>
      <c r="L692" s="3" t="s">
        <v>324</v>
      </c>
      <c r="M692" s="3" t="str">
        <f t="shared" si="1"/>
        <v>Target Achieved</v>
      </c>
      <c r="N692" s="10">
        <f t="shared" si="2"/>
        <v>0.5144694534</v>
      </c>
      <c r="O692" s="11">
        <f t="shared" si="3"/>
        <v>0</v>
      </c>
      <c r="P692" s="12">
        <f t="shared" si="4"/>
        <v>17306</v>
      </c>
    </row>
    <row r="693" ht="12.75" customHeight="1">
      <c r="A693" s="3" t="s">
        <v>1024</v>
      </c>
      <c r="B693" s="3" t="s">
        <v>501</v>
      </c>
      <c r="C693" s="3" t="s">
        <v>45</v>
      </c>
      <c r="D693" s="3" t="s">
        <v>22</v>
      </c>
      <c r="E693" s="3" t="s">
        <v>58</v>
      </c>
      <c r="F693" s="3" t="s">
        <v>52</v>
      </c>
      <c r="G693" s="3" t="s">
        <v>11</v>
      </c>
      <c r="H693" s="3">
        <v>18672.0</v>
      </c>
      <c r="I693" s="3" t="s">
        <v>42</v>
      </c>
      <c r="K693" s="3">
        <v>17000.0</v>
      </c>
      <c r="L693" s="3" t="s">
        <v>139</v>
      </c>
      <c r="M693" s="3" t="str">
        <f t="shared" si="1"/>
        <v>Target Achieved</v>
      </c>
      <c r="N693" s="10">
        <f t="shared" si="2"/>
        <v>0.5129032258</v>
      </c>
      <c r="O693" s="11" t="str">
        <f t="shared" si="3"/>
        <v/>
      </c>
      <c r="P693" s="12">
        <f t="shared" si="4"/>
        <v>15871.2</v>
      </c>
    </row>
    <row r="694" ht="12.75" customHeight="1">
      <c r="A694" s="3" t="s">
        <v>1025</v>
      </c>
      <c r="B694" s="3" t="s">
        <v>589</v>
      </c>
      <c r="C694" s="3" t="s">
        <v>18</v>
      </c>
      <c r="D694" s="3" t="s">
        <v>16</v>
      </c>
      <c r="E694" s="3" t="s">
        <v>58</v>
      </c>
      <c r="F694" s="3" t="s">
        <v>41</v>
      </c>
      <c r="G694" s="3" t="s">
        <v>11</v>
      </c>
      <c r="H694" s="3">
        <v>14595.0</v>
      </c>
      <c r="I694" s="3" t="s">
        <v>23</v>
      </c>
      <c r="J694" s="3">
        <v>0.2</v>
      </c>
      <c r="K694" s="3">
        <v>14000.0</v>
      </c>
      <c r="L694" s="3" t="s">
        <v>238</v>
      </c>
      <c r="M694" s="3" t="str">
        <f t="shared" si="1"/>
        <v>Target Achieved</v>
      </c>
      <c r="N694" s="10">
        <f t="shared" si="2"/>
        <v>0.5113268608</v>
      </c>
      <c r="O694" s="11">
        <f t="shared" si="3"/>
        <v>0.2</v>
      </c>
      <c r="P694" s="12">
        <f t="shared" si="4"/>
        <v>11676</v>
      </c>
    </row>
    <row r="695" ht="12.75" customHeight="1">
      <c r="A695" s="3" t="s">
        <v>1026</v>
      </c>
      <c r="B695" s="3" t="s">
        <v>497</v>
      </c>
      <c r="C695" s="3" t="s">
        <v>45</v>
      </c>
      <c r="D695" s="3" t="s">
        <v>22</v>
      </c>
      <c r="E695" s="3" t="s">
        <v>58</v>
      </c>
      <c r="F695" s="3" t="s">
        <v>21</v>
      </c>
      <c r="G695" s="3" t="s">
        <v>12</v>
      </c>
      <c r="H695" s="3">
        <v>17194.0</v>
      </c>
      <c r="I695" s="3" t="s">
        <v>37</v>
      </c>
      <c r="J695" s="3">
        <v>0.1</v>
      </c>
      <c r="K695" s="3">
        <v>17000.0</v>
      </c>
      <c r="L695" s="3" t="s">
        <v>96</v>
      </c>
      <c r="M695" s="3" t="str">
        <f t="shared" si="1"/>
        <v>Target Achieved</v>
      </c>
      <c r="N695" s="10">
        <f t="shared" si="2"/>
        <v>0.5097402597</v>
      </c>
      <c r="O695" s="11">
        <f t="shared" si="3"/>
        <v>0.1</v>
      </c>
      <c r="P695" s="12">
        <f t="shared" si="4"/>
        <v>15474.6</v>
      </c>
    </row>
    <row r="696" ht="12.75" customHeight="1">
      <c r="A696" s="3" t="s">
        <v>1027</v>
      </c>
      <c r="B696" s="3" t="s">
        <v>743</v>
      </c>
      <c r="C696" s="3" t="s">
        <v>57</v>
      </c>
      <c r="D696" s="3" t="s">
        <v>19</v>
      </c>
      <c r="E696" s="3" t="s">
        <v>58</v>
      </c>
      <c r="F696" s="3" t="s">
        <v>41</v>
      </c>
      <c r="G696" s="3" t="s">
        <v>11</v>
      </c>
      <c r="H696" s="3">
        <v>13759.0</v>
      </c>
      <c r="I696" s="3" t="s">
        <v>47</v>
      </c>
      <c r="J696" s="3">
        <v>0.3</v>
      </c>
      <c r="K696" s="3">
        <v>13000.0</v>
      </c>
      <c r="L696" s="15" t="s">
        <v>109</v>
      </c>
      <c r="M696" s="3" t="str">
        <f t="shared" si="1"/>
        <v>Target Achieved</v>
      </c>
      <c r="N696" s="10">
        <f t="shared" si="2"/>
        <v>0.5081433225</v>
      </c>
      <c r="O696" s="11">
        <f t="shared" si="3"/>
        <v>0.3</v>
      </c>
      <c r="P696" s="12">
        <f t="shared" si="4"/>
        <v>9631.3</v>
      </c>
    </row>
    <row r="697" ht="12.75" customHeight="1">
      <c r="A697" s="3" t="s">
        <v>1028</v>
      </c>
      <c r="B697" s="3" t="s">
        <v>105</v>
      </c>
      <c r="C697" s="3" t="s">
        <v>76</v>
      </c>
      <c r="D697" s="3" t="s">
        <v>24</v>
      </c>
      <c r="E697" s="3" t="s">
        <v>58</v>
      </c>
      <c r="F697" s="3" t="s">
        <v>21</v>
      </c>
      <c r="G697" s="3" t="s">
        <v>13</v>
      </c>
      <c r="H697" s="3">
        <v>10663.0</v>
      </c>
      <c r="I697" s="3" t="s">
        <v>42</v>
      </c>
      <c r="K697" s="3">
        <v>9000.0</v>
      </c>
      <c r="L697" s="3" t="s">
        <v>73</v>
      </c>
      <c r="M697" s="3" t="str">
        <f t="shared" si="1"/>
        <v>Target Achieved</v>
      </c>
      <c r="N697" s="10">
        <f t="shared" si="2"/>
        <v>0.5065359477</v>
      </c>
      <c r="O697" s="11" t="str">
        <f t="shared" si="3"/>
        <v/>
      </c>
      <c r="P697" s="12">
        <f t="shared" si="4"/>
        <v>9063.55</v>
      </c>
    </row>
    <row r="698" ht="12.75" customHeight="1">
      <c r="A698" s="3" t="s">
        <v>1029</v>
      </c>
      <c r="B698" s="3" t="s">
        <v>372</v>
      </c>
      <c r="C698" s="3" t="s">
        <v>57</v>
      </c>
      <c r="D698" s="3" t="s">
        <v>19</v>
      </c>
      <c r="E698" s="3" t="s">
        <v>58</v>
      </c>
      <c r="F698" s="3" t="s">
        <v>52</v>
      </c>
      <c r="G698" s="3" t="s">
        <v>13</v>
      </c>
      <c r="H698" s="3">
        <v>11961.0</v>
      </c>
      <c r="I698" s="3" t="s">
        <v>23</v>
      </c>
      <c r="J698" s="3">
        <v>0.2</v>
      </c>
      <c r="K698" s="3">
        <v>13000.0</v>
      </c>
      <c r="L698" s="3" t="s">
        <v>139</v>
      </c>
      <c r="M698" s="3" t="str">
        <f t="shared" si="1"/>
        <v>Below Target</v>
      </c>
      <c r="N698" s="10">
        <f t="shared" si="2"/>
        <v>0.5049180328</v>
      </c>
      <c r="O698" s="11">
        <f t="shared" si="3"/>
        <v>0.2</v>
      </c>
      <c r="P698" s="12">
        <f t="shared" si="4"/>
        <v>9568.8</v>
      </c>
    </row>
    <row r="699" ht="12.75" customHeight="1">
      <c r="A699" s="3" t="s">
        <v>1030</v>
      </c>
      <c r="B699" s="3" t="s">
        <v>382</v>
      </c>
      <c r="C699" s="3" t="s">
        <v>57</v>
      </c>
      <c r="D699" s="3" t="s">
        <v>19</v>
      </c>
      <c r="E699" s="3" t="s">
        <v>46</v>
      </c>
      <c r="F699" s="3" t="s">
        <v>41</v>
      </c>
      <c r="G699" s="3" t="s">
        <v>12</v>
      </c>
      <c r="H699" s="3">
        <v>12458.0</v>
      </c>
      <c r="I699" s="3" t="s">
        <v>23</v>
      </c>
      <c r="J699" s="3">
        <v>0.2</v>
      </c>
      <c r="K699" s="3">
        <v>13000.0</v>
      </c>
      <c r="L699" s="3" t="s">
        <v>324</v>
      </c>
      <c r="M699" s="3" t="str">
        <f t="shared" si="1"/>
        <v>Below Target</v>
      </c>
      <c r="N699" s="10">
        <f t="shared" si="2"/>
        <v>0.5065789474</v>
      </c>
      <c r="O699" s="11">
        <f t="shared" si="3"/>
        <v>0.2</v>
      </c>
      <c r="P699" s="12">
        <f t="shared" si="4"/>
        <v>9966.4</v>
      </c>
    </row>
    <row r="700" ht="12.75" customHeight="1">
      <c r="A700" s="3" t="s">
        <v>1031</v>
      </c>
      <c r="B700" s="3" t="s">
        <v>102</v>
      </c>
      <c r="C700" s="3" t="s">
        <v>18</v>
      </c>
      <c r="D700" s="3" t="s">
        <v>16</v>
      </c>
      <c r="E700" s="3" t="s">
        <v>20</v>
      </c>
      <c r="F700" s="3" t="s">
        <v>52</v>
      </c>
      <c r="G700" s="3" t="s">
        <v>11</v>
      </c>
      <c r="H700" s="3">
        <v>14514.0</v>
      </c>
      <c r="I700" s="3" t="s">
        <v>37</v>
      </c>
      <c r="J700" s="3">
        <v>0.1</v>
      </c>
      <c r="K700" s="3">
        <v>14000.0</v>
      </c>
      <c r="L700" s="3" t="s">
        <v>323</v>
      </c>
      <c r="M700" s="3" t="str">
        <f t="shared" si="1"/>
        <v>Target Achieved</v>
      </c>
      <c r="N700" s="10">
        <f t="shared" si="2"/>
        <v>0.5082508251</v>
      </c>
      <c r="O700" s="11">
        <f t="shared" si="3"/>
        <v>0.1</v>
      </c>
      <c r="P700" s="12">
        <f t="shared" si="4"/>
        <v>13062.6</v>
      </c>
    </row>
    <row r="701" ht="12.75" customHeight="1">
      <c r="A701" s="3" t="s">
        <v>1032</v>
      </c>
      <c r="B701" s="3" t="s">
        <v>185</v>
      </c>
      <c r="C701" s="3" t="s">
        <v>18</v>
      </c>
      <c r="D701" s="3" t="s">
        <v>16</v>
      </c>
      <c r="E701" s="3" t="s">
        <v>58</v>
      </c>
      <c r="F701" s="3" t="s">
        <v>21</v>
      </c>
      <c r="G701" s="3" t="s">
        <v>12</v>
      </c>
      <c r="H701" s="3">
        <v>13291.0</v>
      </c>
      <c r="K701" s="3">
        <v>14000.0</v>
      </c>
      <c r="L701" s="3" t="s">
        <v>338</v>
      </c>
      <c r="M701" s="3" t="str">
        <f t="shared" si="1"/>
        <v>Below Target</v>
      </c>
      <c r="N701" s="10">
        <f t="shared" si="2"/>
        <v>0.5066225166</v>
      </c>
      <c r="O701" s="11">
        <f t="shared" si="3"/>
        <v>0</v>
      </c>
      <c r="P701" s="12">
        <f t="shared" si="4"/>
        <v>13291</v>
      </c>
    </row>
    <row r="702" ht="12.75" customHeight="1">
      <c r="A702" s="3" t="s">
        <v>1033</v>
      </c>
      <c r="B702" s="3" t="s">
        <v>75</v>
      </c>
      <c r="C702" s="3" t="s">
        <v>45</v>
      </c>
      <c r="D702" s="3" t="s">
        <v>22</v>
      </c>
      <c r="E702" s="3" t="s">
        <v>58</v>
      </c>
      <c r="F702" s="3" t="s">
        <v>41</v>
      </c>
      <c r="G702" s="3" t="s">
        <v>12</v>
      </c>
      <c r="H702" s="3">
        <v>16147.0</v>
      </c>
      <c r="K702" s="3">
        <v>17000.0</v>
      </c>
      <c r="L702" s="3" t="s">
        <v>221</v>
      </c>
      <c r="M702" s="3" t="str">
        <f t="shared" si="1"/>
        <v>Below Target</v>
      </c>
      <c r="N702" s="10">
        <f t="shared" si="2"/>
        <v>0.5083056478</v>
      </c>
      <c r="O702" s="11">
        <f t="shared" si="3"/>
        <v>0</v>
      </c>
      <c r="P702" s="12">
        <f t="shared" si="4"/>
        <v>16147</v>
      </c>
    </row>
    <row r="703" ht="12.75" customHeight="1">
      <c r="A703" s="3" t="s">
        <v>1034</v>
      </c>
      <c r="B703" s="3" t="s">
        <v>622</v>
      </c>
      <c r="C703" s="3" t="s">
        <v>57</v>
      </c>
      <c r="D703" s="3" t="s">
        <v>19</v>
      </c>
      <c r="E703" s="3" t="s">
        <v>46</v>
      </c>
      <c r="F703" s="3" t="s">
        <v>52</v>
      </c>
      <c r="G703" s="3" t="s">
        <v>11</v>
      </c>
      <c r="H703" s="3">
        <v>12959.0</v>
      </c>
      <c r="I703" s="3" t="s">
        <v>42</v>
      </c>
      <c r="K703" s="3">
        <v>13000.0</v>
      </c>
      <c r="L703" s="15" t="s">
        <v>341</v>
      </c>
      <c r="M703" s="3" t="str">
        <f t="shared" si="1"/>
        <v>Below Target</v>
      </c>
      <c r="N703" s="10">
        <f t="shared" si="2"/>
        <v>0.51</v>
      </c>
      <c r="O703" s="11" t="str">
        <f t="shared" si="3"/>
        <v/>
      </c>
      <c r="P703" s="12">
        <f t="shared" si="4"/>
        <v>11015.15</v>
      </c>
    </row>
    <row r="704" ht="12.75" customHeight="1">
      <c r="A704" s="3" t="s">
        <v>1035</v>
      </c>
      <c r="B704" s="3" t="s">
        <v>274</v>
      </c>
      <c r="C704" s="3" t="s">
        <v>76</v>
      </c>
      <c r="D704" s="3" t="s">
        <v>24</v>
      </c>
      <c r="E704" s="3" t="s">
        <v>20</v>
      </c>
      <c r="F704" s="3" t="s">
        <v>41</v>
      </c>
      <c r="G704" s="3" t="s">
        <v>11</v>
      </c>
      <c r="H704" s="3">
        <v>10999.0</v>
      </c>
      <c r="I704" s="3" t="s">
        <v>37</v>
      </c>
      <c r="J704" s="3">
        <v>0.1</v>
      </c>
      <c r="K704" s="3">
        <v>9000.0</v>
      </c>
      <c r="L704" s="3" t="s">
        <v>96</v>
      </c>
      <c r="M704" s="3" t="str">
        <f t="shared" si="1"/>
        <v>Target Achieved</v>
      </c>
      <c r="N704" s="10">
        <f t="shared" si="2"/>
        <v>0.5117056856</v>
      </c>
      <c r="O704" s="11">
        <f t="shared" si="3"/>
        <v>0.1</v>
      </c>
      <c r="P704" s="12">
        <f t="shared" si="4"/>
        <v>9899.1</v>
      </c>
    </row>
    <row r="705" ht="12.75" customHeight="1">
      <c r="A705" s="3" t="s">
        <v>1036</v>
      </c>
      <c r="B705" s="3" t="s">
        <v>644</v>
      </c>
      <c r="C705" s="3" t="s">
        <v>45</v>
      </c>
      <c r="D705" s="3" t="s">
        <v>22</v>
      </c>
      <c r="E705" s="3" t="s">
        <v>20</v>
      </c>
      <c r="F705" s="3" t="s">
        <v>41</v>
      </c>
      <c r="G705" s="3" t="s">
        <v>13</v>
      </c>
      <c r="H705" s="3">
        <v>17761.0</v>
      </c>
      <c r="I705" s="3" t="s">
        <v>23</v>
      </c>
      <c r="J705" s="3">
        <v>0.2</v>
      </c>
      <c r="K705" s="3">
        <v>17000.0</v>
      </c>
      <c r="L705" s="3" t="s">
        <v>88</v>
      </c>
      <c r="M705" s="3" t="str">
        <f t="shared" si="1"/>
        <v>Target Achieved</v>
      </c>
      <c r="N705" s="10">
        <f t="shared" si="2"/>
        <v>0.5100671141</v>
      </c>
      <c r="O705" s="11">
        <f t="shared" si="3"/>
        <v>0.2</v>
      </c>
      <c r="P705" s="12">
        <f t="shared" si="4"/>
        <v>14208.8</v>
      </c>
    </row>
    <row r="706" ht="12.75" customHeight="1">
      <c r="A706" s="3" t="s">
        <v>1037</v>
      </c>
      <c r="B706" s="3" t="s">
        <v>141</v>
      </c>
      <c r="C706" s="3" t="s">
        <v>45</v>
      </c>
      <c r="D706" s="3" t="s">
        <v>22</v>
      </c>
      <c r="E706" s="3" t="s">
        <v>58</v>
      </c>
      <c r="F706" s="3" t="s">
        <v>52</v>
      </c>
      <c r="G706" s="3" t="s">
        <v>11</v>
      </c>
      <c r="H706" s="3">
        <v>15766.0</v>
      </c>
      <c r="I706" s="3" t="s">
        <v>42</v>
      </c>
      <c r="K706" s="3">
        <v>17000.0</v>
      </c>
      <c r="L706" s="3" t="s">
        <v>320</v>
      </c>
      <c r="M706" s="3" t="str">
        <f t="shared" si="1"/>
        <v>Below Target</v>
      </c>
      <c r="N706" s="10">
        <f t="shared" si="2"/>
        <v>0.5084175084</v>
      </c>
      <c r="O706" s="11" t="str">
        <f t="shared" si="3"/>
        <v/>
      </c>
      <c r="P706" s="12">
        <f t="shared" si="4"/>
        <v>13401.1</v>
      </c>
    </row>
    <row r="707" ht="12.75" customHeight="1">
      <c r="A707" s="3" t="s">
        <v>1038</v>
      </c>
      <c r="B707" s="3" t="s">
        <v>1039</v>
      </c>
      <c r="C707" s="3" t="s">
        <v>76</v>
      </c>
      <c r="D707" s="3" t="s">
        <v>24</v>
      </c>
      <c r="E707" s="3" t="s">
        <v>20</v>
      </c>
      <c r="F707" s="3" t="s">
        <v>21</v>
      </c>
      <c r="G707" s="3" t="s">
        <v>11</v>
      </c>
      <c r="H707" s="3">
        <v>7753.0</v>
      </c>
      <c r="K707" s="3">
        <v>9000.0</v>
      </c>
      <c r="L707" s="3" t="s">
        <v>117</v>
      </c>
      <c r="M707" s="3" t="str">
        <f t="shared" si="1"/>
        <v>Below Target</v>
      </c>
      <c r="N707" s="10">
        <f t="shared" si="2"/>
        <v>0.5101351351</v>
      </c>
      <c r="O707" s="11">
        <f t="shared" si="3"/>
        <v>0</v>
      </c>
      <c r="P707" s="12">
        <f t="shared" si="4"/>
        <v>7753</v>
      </c>
    </row>
    <row r="708" ht="12.75" customHeight="1">
      <c r="A708" s="3" t="s">
        <v>1040</v>
      </c>
      <c r="B708" s="3" t="s">
        <v>514</v>
      </c>
      <c r="C708" s="3" t="s">
        <v>45</v>
      </c>
      <c r="D708" s="3" t="s">
        <v>22</v>
      </c>
      <c r="E708" s="3" t="s">
        <v>58</v>
      </c>
      <c r="F708" s="3" t="s">
        <v>21</v>
      </c>
      <c r="G708" s="3" t="s">
        <v>11</v>
      </c>
      <c r="H708" s="3">
        <v>16846.0</v>
      </c>
      <c r="I708" s="3" t="s">
        <v>23</v>
      </c>
      <c r="J708" s="3">
        <v>0.2</v>
      </c>
      <c r="K708" s="3">
        <v>17000.0</v>
      </c>
      <c r="L708" s="15" t="s">
        <v>352</v>
      </c>
      <c r="M708" s="3" t="str">
        <f t="shared" si="1"/>
        <v>Below Target</v>
      </c>
      <c r="N708" s="10">
        <f t="shared" si="2"/>
        <v>0.5118644068</v>
      </c>
      <c r="O708" s="11">
        <f t="shared" si="3"/>
        <v>0.2</v>
      </c>
      <c r="P708" s="12">
        <f t="shared" si="4"/>
        <v>13476.8</v>
      </c>
    </row>
    <row r="709" ht="12.75" customHeight="1">
      <c r="A709" s="3" t="s">
        <v>1041</v>
      </c>
      <c r="B709" s="3" t="s">
        <v>820</v>
      </c>
      <c r="C709" s="3" t="s">
        <v>57</v>
      </c>
      <c r="D709" s="3" t="s">
        <v>19</v>
      </c>
      <c r="E709" s="3" t="s">
        <v>46</v>
      </c>
      <c r="F709" s="3" t="s">
        <v>52</v>
      </c>
      <c r="G709" s="3" t="s">
        <v>11</v>
      </c>
      <c r="H709" s="3">
        <v>14293.0</v>
      </c>
      <c r="I709" s="3" t="s">
        <v>23</v>
      </c>
      <c r="J709" s="3">
        <v>0.2</v>
      </c>
      <c r="K709" s="3">
        <v>13000.0</v>
      </c>
      <c r="L709" s="15" t="s">
        <v>349</v>
      </c>
      <c r="M709" s="3" t="str">
        <f t="shared" si="1"/>
        <v>Target Achieved</v>
      </c>
      <c r="N709" s="10">
        <f t="shared" si="2"/>
        <v>0.5136054422</v>
      </c>
      <c r="O709" s="11">
        <f t="shared" si="3"/>
        <v>0.2</v>
      </c>
      <c r="P709" s="12">
        <f t="shared" si="4"/>
        <v>11434.4</v>
      </c>
    </row>
    <row r="710" ht="12.75" customHeight="1">
      <c r="A710" s="3" t="s">
        <v>1042</v>
      </c>
      <c r="B710" s="3" t="s">
        <v>405</v>
      </c>
      <c r="C710" s="3" t="s">
        <v>76</v>
      </c>
      <c r="D710" s="3" t="s">
        <v>24</v>
      </c>
      <c r="E710" s="3" t="s">
        <v>46</v>
      </c>
      <c r="F710" s="3" t="s">
        <v>41</v>
      </c>
      <c r="G710" s="3" t="s">
        <v>12</v>
      </c>
      <c r="H710" s="3">
        <v>7612.0</v>
      </c>
      <c r="K710" s="3">
        <v>9000.0</v>
      </c>
      <c r="L710" s="3" t="s">
        <v>330</v>
      </c>
      <c r="M710" s="3" t="str">
        <f t="shared" si="1"/>
        <v>Below Target</v>
      </c>
      <c r="N710" s="10">
        <f t="shared" si="2"/>
        <v>0.5119453925</v>
      </c>
      <c r="O710" s="11">
        <f t="shared" si="3"/>
        <v>0</v>
      </c>
      <c r="P710" s="12">
        <f t="shared" si="4"/>
        <v>7612</v>
      </c>
    </row>
    <row r="711" ht="12.75" customHeight="1">
      <c r="A711" s="3" t="s">
        <v>1043</v>
      </c>
      <c r="B711" s="3" t="s">
        <v>302</v>
      </c>
      <c r="C711" s="3" t="s">
        <v>76</v>
      </c>
      <c r="D711" s="3" t="s">
        <v>24</v>
      </c>
      <c r="E711" s="3" t="s">
        <v>58</v>
      </c>
      <c r="F711" s="3" t="s">
        <v>41</v>
      </c>
      <c r="G711" s="3" t="s">
        <v>12</v>
      </c>
      <c r="H711" s="3">
        <v>9117.0</v>
      </c>
      <c r="I711" s="3" t="s">
        <v>42</v>
      </c>
      <c r="K711" s="3">
        <v>9000.0</v>
      </c>
      <c r="L711" s="3" t="s">
        <v>319</v>
      </c>
      <c r="M711" s="3" t="str">
        <f t="shared" si="1"/>
        <v>Target Achieved</v>
      </c>
      <c r="N711" s="10">
        <f t="shared" si="2"/>
        <v>0.5136986301</v>
      </c>
      <c r="O711" s="11" t="str">
        <f t="shared" si="3"/>
        <v/>
      </c>
      <c r="P711" s="12">
        <f t="shared" si="4"/>
        <v>7749.45</v>
      </c>
    </row>
    <row r="712" ht="12.75" customHeight="1">
      <c r="A712" s="3" t="s">
        <v>1044</v>
      </c>
      <c r="B712" s="3" t="s">
        <v>578</v>
      </c>
      <c r="C712" s="3" t="s">
        <v>76</v>
      </c>
      <c r="D712" s="3" t="s">
        <v>24</v>
      </c>
      <c r="E712" s="3" t="s">
        <v>58</v>
      </c>
      <c r="F712" s="3" t="s">
        <v>21</v>
      </c>
      <c r="G712" s="3" t="s">
        <v>12</v>
      </c>
      <c r="H712" s="3">
        <v>10516.0</v>
      </c>
      <c r="I712" s="3" t="s">
        <v>42</v>
      </c>
      <c r="K712" s="3">
        <v>9000.0</v>
      </c>
      <c r="L712" s="15" t="s">
        <v>347</v>
      </c>
      <c r="M712" s="3" t="str">
        <f t="shared" si="1"/>
        <v>Target Achieved</v>
      </c>
      <c r="N712" s="10">
        <f t="shared" si="2"/>
        <v>0.5120274914</v>
      </c>
      <c r="O712" s="11" t="str">
        <f t="shared" si="3"/>
        <v/>
      </c>
      <c r="P712" s="12">
        <f t="shared" si="4"/>
        <v>8938.6</v>
      </c>
    </row>
    <row r="713" ht="12.75" customHeight="1">
      <c r="A713" s="3" t="s">
        <v>1045</v>
      </c>
      <c r="B713" s="3" t="s">
        <v>54</v>
      </c>
      <c r="C713" s="3" t="s">
        <v>57</v>
      </c>
      <c r="D713" s="3" t="s">
        <v>19</v>
      </c>
      <c r="E713" s="3" t="s">
        <v>46</v>
      </c>
      <c r="F713" s="3" t="s">
        <v>41</v>
      </c>
      <c r="G713" s="3" t="s">
        <v>11</v>
      </c>
      <c r="H713" s="3">
        <v>12951.0</v>
      </c>
      <c r="I713" s="3" t="s">
        <v>37</v>
      </c>
      <c r="J713" s="3">
        <v>0.1</v>
      </c>
      <c r="K713" s="3">
        <v>13000.0</v>
      </c>
      <c r="L713" s="3" t="s">
        <v>203</v>
      </c>
      <c r="M713" s="3" t="str">
        <f t="shared" si="1"/>
        <v>Below Target</v>
      </c>
      <c r="N713" s="10">
        <f t="shared" si="2"/>
        <v>0.5103448276</v>
      </c>
      <c r="O713" s="11">
        <f t="shared" si="3"/>
        <v>0.1</v>
      </c>
      <c r="P713" s="12">
        <f t="shared" si="4"/>
        <v>11655.9</v>
      </c>
    </row>
    <row r="714" ht="12.75" customHeight="1">
      <c r="A714" s="3" t="s">
        <v>1046</v>
      </c>
      <c r="B714" s="3" t="s">
        <v>677</v>
      </c>
      <c r="C714" s="3" t="s">
        <v>45</v>
      </c>
      <c r="D714" s="3" t="s">
        <v>22</v>
      </c>
      <c r="E714" s="3" t="s">
        <v>58</v>
      </c>
      <c r="F714" s="3" t="s">
        <v>21</v>
      </c>
      <c r="G714" s="3" t="s">
        <v>12</v>
      </c>
      <c r="H714" s="3">
        <v>17283.0</v>
      </c>
      <c r="I714" s="3" t="s">
        <v>47</v>
      </c>
      <c r="J714" s="3">
        <v>0.3</v>
      </c>
      <c r="K714" s="3">
        <v>17000.0</v>
      </c>
      <c r="L714" s="3" t="s">
        <v>334</v>
      </c>
      <c r="M714" s="3" t="str">
        <f t="shared" si="1"/>
        <v>Target Achieved</v>
      </c>
      <c r="N714" s="10">
        <f t="shared" si="2"/>
        <v>0.5121107266</v>
      </c>
      <c r="O714" s="11">
        <f t="shared" si="3"/>
        <v>0.3</v>
      </c>
      <c r="P714" s="12">
        <f t="shared" si="4"/>
        <v>12098.1</v>
      </c>
    </row>
    <row r="715" ht="12.75" customHeight="1">
      <c r="A715" s="3" t="s">
        <v>1047</v>
      </c>
      <c r="B715" s="3" t="s">
        <v>506</v>
      </c>
      <c r="C715" s="3" t="s">
        <v>18</v>
      </c>
      <c r="D715" s="3" t="s">
        <v>16</v>
      </c>
      <c r="E715" s="3" t="s">
        <v>58</v>
      </c>
      <c r="F715" s="3" t="s">
        <v>52</v>
      </c>
      <c r="G715" s="3" t="s">
        <v>12</v>
      </c>
      <c r="H715" s="3">
        <v>12814.0</v>
      </c>
      <c r="I715" s="3" t="s">
        <v>42</v>
      </c>
      <c r="K715" s="3">
        <v>14000.0</v>
      </c>
      <c r="L715" s="15" t="s">
        <v>352</v>
      </c>
      <c r="M715" s="3" t="str">
        <f t="shared" si="1"/>
        <v>Below Target</v>
      </c>
      <c r="N715" s="10">
        <f t="shared" si="2"/>
        <v>0.5104166667</v>
      </c>
      <c r="O715" s="11" t="str">
        <f t="shared" si="3"/>
        <v/>
      </c>
      <c r="P715" s="12">
        <f t="shared" si="4"/>
        <v>10891.9</v>
      </c>
    </row>
    <row r="716" ht="12.75" customHeight="1">
      <c r="A716" s="3" t="s">
        <v>1048</v>
      </c>
      <c r="B716" s="3" t="s">
        <v>122</v>
      </c>
      <c r="C716" s="3" t="s">
        <v>57</v>
      </c>
      <c r="D716" s="3" t="s">
        <v>19</v>
      </c>
      <c r="E716" s="3" t="s">
        <v>58</v>
      </c>
      <c r="F716" s="3" t="s">
        <v>21</v>
      </c>
      <c r="G716" s="3" t="s">
        <v>11</v>
      </c>
      <c r="H716" s="3">
        <v>13757.0</v>
      </c>
      <c r="I716" s="3" t="s">
        <v>42</v>
      </c>
      <c r="K716" s="3">
        <v>13000.0</v>
      </c>
      <c r="L716" s="15" t="s">
        <v>177</v>
      </c>
      <c r="M716" s="3" t="str">
        <f t="shared" si="1"/>
        <v>Target Achieved</v>
      </c>
      <c r="N716" s="10">
        <f t="shared" si="2"/>
        <v>0.512195122</v>
      </c>
      <c r="O716" s="11" t="str">
        <f t="shared" si="3"/>
        <v/>
      </c>
      <c r="P716" s="12">
        <f t="shared" si="4"/>
        <v>11693.45</v>
      </c>
    </row>
    <row r="717" ht="12.75" customHeight="1">
      <c r="A717" s="3" t="s">
        <v>1049</v>
      </c>
      <c r="B717" s="3" t="s">
        <v>390</v>
      </c>
      <c r="C717" s="3" t="s">
        <v>76</v>
      </c>
      <c r="D717" s="3" t="s">
        <v>24</v>
      </c>
      <c r="E717" s="3" t="s">
        <v>46</v>
      </c>
      <c r="F717" s="3" t="s">
        <v>21</v>
      </c>
      <c r="G717" s="3" t="s">
        <v>12</v>
      </c>
      <c r="H717" s="3">
        <v>8173.0</v>
      </c>
      <c r="K717" s="3">
        <v>9000.0</v>
      </c>
      <c r="L717" s="15" t="s">
        <v>312</v>
      </c>
      <c r="M717" s="3" t="str">
        <f t="shared" si="1"/>
        <v>Below Target</v>
      </c>
      <c r="N717" s="10">
        <f t="shared" si="2"/>
        <v>0.5104895105</v>
      </c>
      <c r="O717" s="11">
        <f t="shared" si="3"/>
        <v>0</v>
      </c>
      <c r="P717" s="12">
        <f t="shared" si="4"/>
        <v>8173</v>
      </c>
    </row>
    <row r="718" ht="12.75" customHeight="1">
      <c r="A718" s="3" t="s">
        <v>1050</v>
      </c>
      <c r="B718" s="3" t="s">
        <v>719</v>
      </c>
      <c r="C718" s="3" t="s">
        <v>57</v>
      </c>
      <c r="D718" s="3" t="s">
        <v>19</v>
      </c>
      <c r="E718" s="3" t="s">
        <v>20</v>
      </c>
      <c r="F718" s="3" t="s">
        <v>21</v>
      </c>
      <c r="G718" s="3" t="s">
        <v>11</v>
      </c>
      <c r="H718" s="3">
        <v>13585.0</v>
      </c>
      <c r="I718" s="3" t="s">
        <v>42</v>
      </c>
      <c r="K718" s="3">
        <v>13000.0</v>
      </c>
      <c r="L718" s="15" t="s">
        <v>352</v>
      </c>
      <c r="M718" s="3" t="str">
        <f t="shared" si="1"/>
        <v>Target Achieved</v>
      </c>
      <c r="N718" s="10">
        <f t="shared" si="2"/>
        <v>0.5122807018</v>
      </c>
      <c r="O718" s="11" t="str">
        <f t="shared" si="3"/>
        <v/>
      </c>
      <c r="P718" s="12">
        <f t="shared" si="4"/>
        <v>11547.25</v>
      </c>
    </row>
    <row r="719" ht="12.75" customHeight="1">
      <c r="A719" s="3" t="s">
        <v>1051</v>
      </c>
      <c r="B719" s="3" t="s">
        <v>405</v>
      </c>
      <c r="C719" s="3" t="s">
        <v>18</v>
      </c>
      <c r="D719" s="3" t="s">
        <v>16</v>
      </c>
      <c r="E719" s="3" t="s">
        <v>46</v>
      </c>
      <c r="F719" s="3" t="s">
        <v>41</v>
      </c>
      <c r="G719" s="3" t="s">
        <v>11</v>
      </c>
      <c r="H719" s="3">
        <v>12934.0</v>
      </c>
      <c r="I719" s="3" t="s">
        <v>47</v>
      </c>
      <c r="J719" s="3">
        <v>0.3</v>
      </c>
      <c r="K719" s="3">
        <v>14000.0</v>
      </c>
      <c r="L719" s="3" t="s">
        <v>303</v>
      </c>
      <c r="M719" s="3" t="str">
        <f t="shared" si="1"/>
        <v>Below Target</v>
      </c>
      <c r="N719" s="10">
        <f t="shared" si="2"/>
        <v>0.5105633803</v>
      </c>
      <c r="O719" s="11">
        <f t="shared" si="3"/>
        <v>0.3</v>
      </c>
      <c r="P719" s="12">
        <f t="shared" si="4"/>
        <v>9053.8</v>
      </c>
    </row>
    <row r="720" ht="12.75" customHeight="1">
      <c r="A720" s="3" t="s">
        <v>1052</v>
      </c>
      <c r="B720" s="3" t="s">
        <v>370</v>
      </c>
      <c r="C720" s="3" t="s">
        <v>45</v>
      </c>
      <c r="D720" s="3" t="s">
        <v>22</v>
      </c>
      <c r="E720" s="3" t="s">
        <v>20</v>
      </c>
      <c r="F720" s="3" t="s">
        <v>52</v>
      </c>
      <c r="G720" s="3" t="s">
        <v>11</v>
      </c>
      <c r="H720" s="3">
        <v>16111.0</v>
      </c>
      <c r="K720" s="3">
        <v>17000.0</v>
      </c>
      <c r="L720" s="3" t="s">
        <v>324</v>
      </c>
      <c r="M720" s="3" t="str">
        <f t="shared" si="1"/>
        <v>Below Target</v>
      </c>
      <c r="N720" s="10">
        <f t="shared" si="2"/>
        <v>0.5123674912</v>
      </c>
      <c r="O720" s="11">
        <f t="shared" si="3"/>
        <v>0</v>
      </c>
      <c r="P720" s="12">
        <f t="shared" si="4"/>
        <v>16111</v>
      </c>
    </row>
    <row r="721" ht="12.75" customHeight="1">
      <c r="A721" s="3" t="s">
        <v>1053</v>
      </c>
      <c r="B721" s="3" t="s">
        <v>398</v>
      </c>
      <c r="C721" s="3" t="s">
        <v>76</v>
      </c>
      <c r="D721" s="3" t="s">
        <v>24</v>
      </c>
      <c r="E721" s="3" t="s">
        <v>58</v>
      </c>
      <c r="F721" s="3" t="s">
        <v>41</v>
      </c>
      <c r="G721" s="3" t="s">
        <v>13</v>
      </c>
      <c r="H721" s="3">
        <v>10498.0</v>
      </c>
      <c r="I721" s="3" t="s">
        <v>37</v>
      </c>
      <c r="J721" s="3">
        <v>0.1</v>
      </c>
      <c r="K721" s="3">
        <v>9000.0</v>
      </c>
      <c r="L721" s="15" t="s">
        <v>353</v>
      </c>
      <c r="M721" s="3" t="str">
        <f t="shared" si="1"/>
        <v>Target Achieved</v>
      </c>
      <c r="N721" s="10">
        <f t="shared" si="2"/>
        <v>0.5141843972</v>
      </c>
      <c r="O721" s="11">
        <f t="shared" si="3"/>
        <v>0.1</v>
      </c>
      <c r="P721" s="12">
        <f t="shared" si="4"/>
        <v>9448.2</v>
      </c>
    </row>
    <row r="722" ht="12.75" customHeight="1">
      <c r="A722" s="3" t="s">
        <v>1054</v>
      </c>
      <c r="B722" s="3" t="s">
        <v>497</v>
      </c>
      <c r="C722" s="3" t="s">
        <v>45</v>
      </c>
      <c r="D722" s="3" t="s">
        <v>22</v>
      </c>
      <c r="E722" s="3" t="s">
        <v>20</v>
      </c>
      <c r="F722" s="3" t="s">
        <v>52</v>
      </c>
      <c r="G722" s="3" t="s">
        <v>12</v>
      </c>
      <c r="H722" s="3">
        <v>15327.0</v>
      </c>
      <c r="I722" s="3" t="s">
        <v>23</v>
      </c>
      <c r="J722" s="3">
        <v>0.2</v>
      </c>
      <c r="K722" s="3">
        <v>17000.0</v>
      </c>
      <c r="L722" s="15" t="s">
        <v>103</v>
      </c>
      <c r="M722" s="3" t="str">
        <f t="shared" si="1"/>
        <v>Below Target</v>
      </c>
      <c r="N722" s="10">
        <f t="shared" si="2"/>
        <v>0.512455516</v>
      </c>
      <c r="O722" s="11">
        <f t="shared" si="3"/>
        <v>0.2</v>
      </c>
      <c r="P722" s="12">
        <f t="shared" si="4"/>
        <v>12261.6</v>
      </c>
    </row>
    <row r="723" ht="12.75" customHeight="1">
      <c r="A723" s="3" t="s">
        <v>1055</v>
      </c>
      <c r="B723" s="3" t="s">
        <v>54</v>
      </c>
      <c r="C723" s="3" t="s">
        <v>18</v>
      </c>
      <c r="D723" s="3" t="s">
        <v>16</v>
      </c>
      <c r="E723" s="3" t="s">
        <v>46</v>
      </c>
      <c r="F723" s="3" t="s">
        <v>21</v>
      </c>
      <c r="G723" s="3" t="s">
        <v>12</v>
      </c>
      <c r="H723" s="3">
        <v>12220.0</v>
      </c>
      <c r="I723" s="3" t="s">
        <v>37</v>
      </c>
      <c r="J723" s="3">
        <v>0.1</v>
      </c>
      <c r="K723" s="3">
        <v>14000.0</v>
      </c>
      <c r="L723" s="3" t="s">
        <v>324</v>
      </c>
      <c r="M723" s="3" t="str">
        <f t="shared" si="1"/>
        <v>Below Target</v>
      </c>
      <c r="N723" s="10">
        <f t="shared" si="2"/>
        <v>0.5142857143</v>
      </c>
      <c r="O723" s="11">
        <f t="shared" si="3"/>
        <v>0.1</v>
      </c>
      <c r="P723" s="12">
        <f t="shared" si="4"/>
        <v>10998</v>
      </c>
    </row>
    <row r="724" ht="12.75" customHeight="1">
      <c r="A724" s="3" t="s">
        <v>1056</v>
      </c>
      <c r="B724" s="3" t="s">
        <v>612</v>
      </c>
      <c r="C724" s="3" t="s">
        <v>18</v>
      </c>
      <c r="D724" s="3" t="s">
        <v>16</v>
      </c>
      <c r="E724" s="3" t="s">
        <v>46</v>
      </c>
      <c r="F724" s="3" t="s">
        <v>21</v>
      </c>
      <c r="G724" s="3" t="s">
        <v>12</v>
      </c>
      <c r="H724" s="3">
        <v>12636.0</v>
      </c>
      <c r="I724" s="3" t="s">
        <v>37</v>
      </c>
      <c r="J724" s="3">
        <v>0.1</v>
      </c>
      <c r="K724" s="3">
        <v>14000.0</v>
      </c>
      <c r="L724" s="15" t="s">
        <v>313</v>
      </c>
      <c r="M724" s="3" t="str">
        <f t="shared" si="1"/>
        <v>Below Target</v>
      </c>
      <c r="N724" s="10">
        <f t="shared" si="2"/>
        <v>0.5161290323</v>
      </c>
      <c r="O724" s="11">
        <f t="shared" si="3"/>
        <v>0.1</v>
      </c>
      <c r="P724" s="12">
        <f t="shared" si="4"/>
        <v>11372.4</v>
      </c>
    </row>
    <row r="725" ht="12.75" customHeight="1">
      <c r="A725" s="3" t="s">
        <v>1057</v>
      </c>
      <c r="B725" s="3" t="s">
        <v>176</v>
      </c>
      <c r="C725" s="3" t="s">
        <v>45</v>
      </c>
      <c r="D725" s="3" t="s">
        <v>22</v>
      </c>
      <c r="E725" s="3" t="s">
        <v>46</v>
      </c>
      <c r="F725" s="3" t="s">
        <v>41</v>
      </c>
      <c r="G725" s="3" t="s">
        <v>12</v>
      </c>
      <c r="H725" s="3">
        <v>16163.0</v>
      </c>
      <c r="K725" s="3">
        <v>17000.0</v>
      </c>
      <c r="L725" s="15" t="s">
        <v>312</v>
      </c>
      <c r="M725" s="3" t="str">
        <f t="shared" si="1"/>
        <v>Below Target</v>
      </c>
      <c r="N725" s="10">
        <f t="shared" si="2"/>
        <v>0.5179856115</v>
      </c>
      <c r="O725" s="11">
        <f t="shared" si="3"/>
        <v>0</v>
      </c>
      <c r="P725" s="12">
        <f t="shared" si="4"/>
        <v>16163</v>
      </c>
    </row>
    <row r="726" ht="12.75" customHeight="1">
      <c r="A726" s="3" t="s">
        <v>1058</v>
      </c>
      <c r="B726" s="3" t="s">
        <v>223</v>
      </c>
      <c r="C726" s="3" t="s">
        <v>57</v>
      </c>
      <c r="D726" s="3" t="s">
        <v>19</v>
      </c>
      <c r="E726" s="3" t="s">
        <v>46</v>
      </c>
      <c r="F726" s="3" t="s">
        <v>41</v>
      </c>
      <c r="G726" s="3" t="s">
        <v>12</v>
      </c>
      <c r="H726" s="3">
        <v>12461.0</v>
      </c>
      <c r="I726" s="3" t="s">
        <v>47</v>
      </c>
      <c r="J726" s="3">
        <v>0.3</v>
      </c>
      <c r="K726" s="3">
        <v>13000.0</v>
      </c>
      <c r="L726" s="3" t="s">
        <v>139</v>
      </c>
      <c r="M726" s="3" t="str">
        <f t="shared" si="1"/>
        <v>Below Target</v>
      </c>
      <c r="N726" s="10">
        <f t="shared" si="2"/>
        <v>0.5198555957</v>
      </c>
      <c r="O726" s="11">
        <f t="shared" si="3"/>
        <v>0.3</v>
      </c>
      <c r="P726" s="12">
        <f t="shared" si="4"/>
        <v>8722.7</v>
      </c>
    </row>
    <row r="727" ht="12.75" customHeight="1">
      <c r="A727" s="3" t="s">
        <v>1059</v>
      </c>
      <c r="B727" s="3" t="s">
        <v>290</v>
      </c>
      <c r="C727" s="3" t="s">
        <v>45</v>
      </c>
      <c r="D727" s="3" t="s">
        <v>22</v>
      </c>
      <c r="E727" s="3" t="s">
        <v>20</v>
      </c>
      <c r="F727" s="3" t="s">
        <v>21</v>
      </c>
      <c r="G727" s="3" t="s">
        <v>13</v>
      </c>
      <c r="H727" s="3">
        <v>18971.0</v>
      </c>
      <c r="I727" s="3" t="s">
        <v>42</v>
      </c>
      <c r="K727" s="3">
        <v>17000.0</v>
      </c>
      <c r="L727" s="15" t="s">
        <v>316</v>
      </c>
      <c r="M727" s="3" t="str">
        <f t="shared" si="1"/>
        <v>Target Achieved</v>
      </c>
      <c r="N727" s="10">
        <f t="shared" si="2"/>
        <v>0.5217391304</v>
      </c>
      <c r="O727" s="11" t="str">
        <f t="shared" si="3"/>
        <v/>
      </c>
      <c r="P727" s="12">
        <f t="shared" si="4"/>
        <v>16125.35</v>
      </c>
    </row>
    <row r="728" ht="12.75" customHeight="1">
      <c r="A728" s="3" t="s">
        <v>1060</v>
      </c>
      <c r="B728" s="3" t="s">
        <v>248</v>
      </c>
      <c r="C728" s="3" t="s">
        <v>76</v>
      </c>
      <c r="D728" s="3" t="s">
        <v>24</v>
      </c>
      <c r="E728" s="3" t="s">
        <v>20</v>
      </c>
      <c r="F728" s="3" t="s">
        <v>52</v>
      </c>
      <c r="G728" s="3" t="s">
        <v>12</v>
      </c>
      <c r="H728" s="3">
        <v>10593.0</v>
      </c>
      <c r="I728" s="3" t="s">
        <v>42</v>
      </c>
      <c r="K728" s="3">
        <v>9000.0</v>
      </c>
      <c r="L728" s="3" t="s">
        <v>117</v>
      </c>
      <c r="M728" s="3" t="str">
        <f t="shared" si="1"/>
        <v>Target Achieved</v>
      </c>
      <c r="N728" s="10">
        <f t="shared" si="2"/>
        <v>0.52</v>
      </c>
      <c r="O728" s="11" t="str">
        <f t="shared" si="3"/>
        <v/>
      </c>
      <c r="P728" s="12">
        <f t="shared" si="4"/>
        <v>9004.05</v>
      </c>
    </row>
    <row r="729" ht="12.75" customHeight="1">
      <c r="A729" s="3" t="s">
        <v>1061</v>
      </c>
      <c r="B729" s="3" t="s">
        <v>255</v>
      </c>
      <c r="C729" s="3" t="s">
        <v>45</v>
      </c>
      <c r="D729" s="3" t="s">
        <v>22</v>
      </c>
      <c r="E729" s="3" t="s">
        <v>58</v>
      </c>
      <c r="F729" s="3" t="s">
        <v>21</v>
      </c>
      <c r="G729" s="3" t="s">
        <v>12</v>
      </c>
      <c r="H729" s="3">
        <v>15930.0</v>
      </c>
      <c r="I729" s="3" t="s">
        <v>37</v>
      </c>
      <c r="J729" s="3">
        <v>0.1</v>
      </c>
      <c r="K729" s="3">
        <v>17000.0</v>
      </c>
      <c r="L729" s="3" t="s">
        <v>203</v>
      </c>
      <c r="M729" s="3" t="str">
        <f t="shared" si="1"/>
        <v>Below Target</v>
      </c>
      <c r="N729" s="10">
        <f t="shared" si="2"/>
        <v>0.5182481752</v>
      </c>
      <c r="O729" s="11">
        <f t="shared" si="3"/>
        <v>0.1</v>
      </c>
      <c r="P729" s="12">
        <f t="shared" si="4"/>
        <v>14337</v>
      </c>
    </row>
    <row r="730" ht="12.75" customHeight="1">
      <c r="A730" s="3" t="s">
        <v>1062</v>
      </c>
      <c r="B730" s="3" t="s">
        <v>170</v>
      </c>
      <c r="C730" s="3" t="s">
        <v>76</v>
      </c>
      <c r="D730" s="3" t="s">
        <v>24</v>
      </c>
      <c r="E730" s="3" t="s">
        <v>58</v>
      </c>
      <c r="F730" s="3" t="s">
        <v>41</v>
      </c>
      <c r="G730" s="3" t="s">
        <v>11</v>
      </c>
      <c r="H730" s="3">
        <v>7043.0</v>
      </c>
      <c r="I730" s="3" t="s">
        <v>37</v>
      </c>
      <c r="J730" s="3">
        <v>0.1</v>
      </c>
      <c r="K730" s="3">
        <v>9000.0</v>
      </c>
      <c r="L730" s="15" t="s">
        <v>344</v>
      </c>
      <c r="M730" s="3" t="str">
        <f t="shared" si="1"/>
        <v>Below Target</v>
      </c>
      <c r="N730" s="10">
        <f t="shared" si="2"/>
        <v>0.5201465201</v>
      </c>
      <c r="O730" s="11">
        <f t="shared" si="3"/>
        <v>0.1</v>
      </c>
      <c r="P730" s="12">
        <f t="shared" si="4"/>
        <v>6338.7</v>
      </c>
    </row>
    <row r="731" ht="12.75" customHeight="1">
      <c r="A731" s="3" t="s">
        <v>1063</v>
      </c>
      <c r="B731" s="3" t="s">
        <v>493</v>
      </c>
      <c r="C731" s="3" t="s">
        <v>57</v>
      </c>
      <c r="D731" s="3" t="s">
        <v>19</v>
      </c>
      <c r="E731" s="3" t="s">
        <v>58</v>
      </c>
      <c r="F731" s="3" t="s">
        <v>21</v>
      </c>
      <c r="G731" s="3" t="s">
        <v>11</v>
      </c>
      <c r="H731" s="3">
        <v>13191.0</v>
      </c>
      <c r="I731" s="3" t="s">
        <v>37</v>
      </c>
      <c r="J731" s="3">
        <v>0.1</v>
      </c>
      <c r="K731" s="3">
        <v>13000.0</v>
      </c>
      <c r="L731" s="3" t="s">
        <v>96</v>
      </c>
      <c r="M731" s="3" t="str">
        <f t="shared" si="1"/>
        <v>Target Achieved</v>
      </c>
      <c r="N731" s="10">
        <f t="shared" si="2"/>
        <v>0.5220588235</v>
      </c>
      <c r="O731" s="11">
        <f t="shared" si="3"/>
        <v>0.1</v>
      </c>
      <c r="P731" s="12">
        <f t="shared" si="4"/>
        <v>11871.9</v>
      </c>
    </row>
    <row r="732" ht="12.75" customHeight="1">
      <c r="A732" s="3" t="s">
        <v>1064</v>
      </c>
      <c r="B732" s="3" t="s">
        <v>545</v>
      </c>
      <c r="C732" s="3" t="s">
        <v>76</v>
      </c>
      <c r="D732" s="3" t="s">
        <v>24</v>
      </c>
      <c r="E732" s="3" t="s">
        <v>58</v>
      </c>
      <c r="F732" s="3" t="s">
        <v>41</v>
      </c>
      <c r="G732" s="3" t="s">
        <v>11</v>
      </c>
      <c r="H732" s="3">
        <v>10268.0</v>
      </c>
      <c r="I732" s="3" t="s">
        <v>47</v>
      </c>
      <c r="J732" s="3">
        <v>0.3</v>
      </c>
      <c r="K732" s="3">
        <v>9000.0</v>
      </c>
      <c r="L732" s="15" t="s">
        <v>130</v>
      </c>
      <c r="M732" s="3" t="str">
        <f t="shared" si="1"/>
        <v>Target Achieved</v>
      </c>
      <c r="N732" s="10">
        <f t="shared" si="2"/>
        <v>0.520295203</v>
      </c>
      <c r="O732" s="11">
        <f t="shared" si="3"/>
        <v>0.3</v>
      </c>
      <c r="P732" s="12">
        <f t="shared" si="4"/>
        <v>7187.6</v>
      </c>
    </row>
    <row r="733" ht="12.75" customHeight="1">
      <c r="A733" s="3" t="s">
        <v>1065</v>
      </c>
      <c r="B733" s="3" t="s">
        <v>501</v>
      </c>
      <c r="C733" s="3" t="s">
        <v>18</v>
      </c>
      <c r="D733" s="3" t="s">
        <v>16</v>
      </c>
      <c r="E733" s="3" t="s">
        <v>20</v>
      </c>
      <c r="F733" s="3" t="s">
        <v>21</v>
      </c>
      <c r="G733" s="3" t="s">
        <v>13</v>
      </c>
      <c r="H733" s="3">
        <v>13686.0</v>
      </c>
      <c r="I733" s="3" t="s">
        <v>42</v>
      </c>
      <c r="K733" s="3">
        <v>14000.0</v>
      </c>
      <c r="L733" s="3" t="s">
        <v>117</v>
      </c>
      <c r="M733" s="3" t="str">
        <f t="shared" si="1"/>
        <v>Below Target</v>
      </c>
      <c r="N733" s="10">
        <f t="shared" si="2"/>
        <v>0.5185185185</v>
      </c>
      <c r="O733" s="11" t="str">
        <f t="shared" si="3"/>
        <v/>
      </c>
      <c r="P733" s="12">
        <f t="shared" si="4"/>
        <v>11633.1</v>
      </c>
    </row>
    <row r="734" ht="12.75" customHeight="1">
      <c r="A734" s="3" t="s">
        <v>1066</v>
      </c>
      <c r="B734" s="3" t="s">
        <v>359</v>
      </c>
      <c r="C734" s="3" t="s">
        <v>57</v>
      </c>
      <c r="D734" s="3" t="s">
        <v>19</v>
      </c>
      <c r="E734" s="3" t="s">
        <v>20</v>
      </c>
      <c r="F734" s="3" t="s">
        <v>52</v>
      </c>
      <c r="G734" s="3" t="s">
        <v>12</v>
      </c>
      <c r="H734" s="3">
        <v>12596.0</v>
      </c>
      <c r="K734" s="3">
        <v>13000.0</v>
      </c>
      <c r="L734" s="3" t="s">
        <v>221</v>
      </c>
      <c r="M734" s="3" t="str">
        <f t="shared" si="1"/>
        <v>Below Target</v>
      </c>
      <c r="N734" s="10">
        <f t="shared" si="2"/>
        <v>0.5204460967</v>
      </c>
      <c r="O734" s="11">
        <f t="shared" si="3"/>
        <v>0</v>
      </c>
      <c r="P734" s="12">
        <f t="shared" si="4"/>
        <v>12596</v>
      </c>
    </row>
    <row r="735" ht="12.75" customHeight="1">
      <c r="A735" s="3" t="s">
        <v>1067</v>
      </c>
      <c r="B735" s="3" t="s">
        <v>280</v>
      </c>
      <c r="C735" s="3" t="s">
        <v>76</v>
      </c>
      <c r="D735" s="3" t="s">
        <v>24</v>
      </c>
      <c r="E735" s="3" t="s">
        <v>20</v>
      </c>
      <c r="F735" s="3" t="s">
        <v>41</v>
      </c>
      <c r="G735" s="3" t="s">
        <v>12</v>
      </c>
      <c r="H735" s="3">
        <v>10131.0</v>
      </c>
      <c r="I735" s="3" t="s">
        <v>42</v>
      </c>
      <c r="K735" s="3">
        <v>9000.0</v>
      </c>
      <c r="L735" s="3" t="s">
        <v>330</v>
      </c>
      <c r="M735" s="3" t="str">
        <f t="shared" si="1"/>
        <v>Target Achieved</v>
      </c>
      <c r="N735" s="10">
        <f t="shared" si="2"/>
        <v>0.5223880597</v>
      </c>
      <c r="O735" s="11" t="str">
        <f t="shared" si="3"/>
        <v/>
      </c>
      <c r="P735" s="12">
        <f t="shared" si="4"/>
        <v>8611.35</v>
      </c>
    </row>
    <row r="736" ht="12.75" customHeight="1">
      <c r="A736" s="3" t="s">
        <v>1068</v>
      </c>
      <c r="B736" s="3" t="s">
        <v>865</v>
      </c>
      <c r="C736" s="3" t="s">
        <v>45</v>
      </c>
      <c r="D736" s="3" t="s">
        <v>22</v>
      </c>
      <c r="E736" s="3" t="s">
        <v>58</v>
      </c>
      <c r="F736" s="3" t="s">
        <v>52</v>
      </c>
      <c r="G736" s="3" t="s">
        <v>12</v>
      </c>
      <c r="H736" s="3">
        <v>17178.0</v>
      </c>
      <c r="I736" s="3" t="s">
        <v>47</v>
      </c>
      <c r="J736" s="3">
        <v>0.3</v>
      </c>
      <c r="K736" s="3">
        <v>17000.0</v>
      </c>
      <c r="L736" s="3" t="s">
        <v>68</v>
      </c>
      <c r="M736" s="3" t="str">
        <f t="shared" si="1"/>
        <v>Target Achieved</v>
      </c>
      <c r="N736" s="10">
        <f t="shared" si="2"/>
        <v>0.5205992509</v>
      </c>
      <c r="O736" s="11">
        <f t="shared" si="3"/>
        <v>0.3</v>
      </c>
      <c r="P736" s="12">
        <f t="shared" si="4"/>
        <v>12024.6</v>
      </c>
    </row>
    <row r="737" ht="12.75" customHeight="1">
      <c r="A737" s="3" t="s">
        <v>1069</v>
      </c>
      <c r="B737" s="3" t="s">
        <v>218</v>
      </c>
      <c r="C737" s="3" t="s">
        <v>18</v>
      </c>
      <c r="D737" s="3" t="s">
        <v>16</v>
      </c>
      <c r="E737" s="3" t="s">
        <v>46</v>
      </c>
      <c r="F737" s="3" t="s">
        <v>41</v>
      </c>
      <c r="G737" s="3" t="s">
        <v>11</v>
      </c>
      <c r="H737" s="3">
        <v>12452.0</v>
      </c>
      <c r="K737" s="3">
        <v>14000.0</v>
      </c>
      <c r="L737" s="15" t="s">
        <v>322</v>
      </c>
      <c r="M737" s="3" t="str">
        <f t="shared" si="1"/>
        <v>Below Target</v>
      </c>
      <c r="N737" s="10">
        <f t="shared" si="2"/>
        <v>0.5187969925</v>
      </c>
      <c r="O737" s="11">
        <f t="shared" si="3"/>
        <v>0</v>
      </c>
      <c r="P737" s="12">
        <f t="shared" si="4"/>
        <v>12452</v>
      </c>
    </row>
    <row r="738" ht="12.75" customHeight="1">
      <c r="A738" s="3" t="s">
        <v>1070</v>
      </c>
      <c r="B738" s="3" t="s">
        <v>160</v>
      </c>
      <c r="C738" s="3" t="s">
        <v>76</v>
      </c>
      <c r="D738" s="3" t="s">
        <v>24</v>
      </c>
      <c r="E738" s="3" t="s">
        <v>46</v>
      </c>
      <c r="F738" s="3" t="s">
        <v>21</v>
      </c>
      <c r="G738" s="3" t="s">
        <v>13</v>
      </c>
      <c r="H738" s="3">
        <v>7623.0</v>
      </c>
      <c r="I738" s="3" t="s">
        <v>37</v>
      </c>
      <c r="J738" s="3">
        <v>0.1</v>
      </c>
      <c r="K738" s="3">
        <v>9000.0</v>
      </c>
      <c r="L738" s="15" t="s">
        <v>348</v>
      </c>
      <c r="M738" s="3" t="str">
        <f t="shared" si="1"/>
        <v>Below Target</v>
      </c>
      <c r="N738" s="10">
        <f t="shared" si="2"/>
        <v>0.520754717</v>
      </c>
      <c r="O738" s="11">
        <f t="shared" si="3"/>
        <v>0.1</v>
      </c>
      <c r="P738" s="12">
        <f t="shared" si="4"/>
        <v>6860.7</v>
      </c>
    </row>
    <row r="739" ht="12.75" customHeight="1">
      <c r="A739" s="3" t="s">
        <v>1071</v>
      </c>
      <c r="B739" s="3" t="s">
        <v>302</v>
      </c>
      <c r="C739" s="3" t="s">
        <v>18</v>
      </c>
      <c r="D739" s="3" t="s">
        <v>16</v>
      </c>
      <c r="E739" s="3" t="s">
        <v>58</v>
      </c>
      <c r="F739" s="3" t="s">
        <v>21</v>
      </c>
      <c r="G739" s="3" t="s">
        <v>13</v>
      </c>
      <c r="H739" s="3">
        <v>14929.0</v>
      </c>
      <c r="K739" s="3">
        <v>14000.0</v>
      </c>
      <c r="L739" s="3" t="s">
        <v>319</v>
      </c>
      <c r="M739" s="3" t="str">
        <f t="shared" si="1"/>
        <v>Target Achieved</v>
      </c>
      <c r="N739" s="10">
        <f t="shared" si="2"/>
        <v>0.5227272727</v>
      </c>
      <c r="O739" s="11">
        <f t="shared" si="3"/>
        <v>0</v>
      </c>
      <c r="P739" s="12">
        <f t="shared" si="4"/>
        <v>14929</v>
      </c>
    </row>
    <row r="740" ht="12.75" customHeight="1">
      <c r="A740" s="3" t="s">
        <v>1072</v>
      </c>
      <c r="B740" s="3" t="s">
        <v>244</v>
      </c>
      <c r="C740" s="3" t="s">
        <v>18</v>
      </c>
      <c r="D740" s="3" t="s">
        <v>16</v>
      </c>
      <c r="E740" s="3" t="s">
        <v>46</v>
      </c>
      <c r="F740" s="3" t="s">
        <v>41</v>
      </c>
      <c r="G740" s="3" t="s">
        <v>11</v>
      </c>
      <c r="H740" s="3">
        <v>12889.0</v>
      </c>
      <c r="I740" s="3" t="s">
        <v>47</v>
      </c>
      <c r="J740" s="3">
        <v>0.3</v>
      </c>
      <c r="K740" s="3">
        <v>14000.0</v>
      </c>
      <c r="L740" s="3" t="s">
        <v>68</v>
      </c>
      <c r="M740" s="3" t="str">
        <f t="shared" si="1"/>
        <v>Below Target</v>
      </c>
      <c r="N740" s="10">
        <f t="shared" si="2"/>
        <v>0.5209125475</v>
      </c>
      <c r="O740" s="11">
        <f t="shared" si="3"/>
        <v>0.3</v>
      </c>
      <c r="P740" s="12">
        <f t="shared" si="4"/>
        <v>9022.3</v>
      </c>
    </row>
    <row r="741" ht="12.75" customHeight="1">
      <c r="A741" s="3" t="s">
        <v>1073</v>
      </c>
      <c r="B741" s="3" t="s">
        <v>543</v>
      </c>
      <c r="C741" s="3" t="s">
        <v>76</v>
      </c>
      <c r="D741" s="3" t="s">
        <v>24</v>
      </c>
      <c r="E741" s="3" t="s">
        <v>58</v>
      </c>
      <c r="F741" s="3" t="s">
        <v>21</v>
      </c>
      <c r="G741" s="3" t="s">
        <v>12</v>
      </c>
      <c r="H741" s="3">
        <v>10241.0</v>
      </c>
      <c r="I741" s="3" t="s">
        <v>37</v>
      </c>
      <c r="J741" s="3">
        <v>0.1</v>
      </c>
      <c r="K741" s="3">
        <v>9000.0</v>
      </c>
      <c r="L741" s="3" t="s">
        <v>332</v>
      </c>
      <c r="M741" s="3" t="str">
        <f t="shared" si="1"/>
        <v>Target Achieved</v>
      </c>
      <c r="N741" s="10">
        <f t="shared" si="2"/>
        <v>0.5229007634</v>
      </c>
      <c r="O741" s="11">
        <f t="shared" si="3"/>
        <v>0.1</v>
      </c>
      <c r="P741" s="12">
        <f t="shared" si="4"/>
        <v>9216.9</v>
      </c>
    </row>
    <row r="742" ht="12.75" customHeight="1">
      <c r="A742" s="3" t="s">
        <v>1074</v>
      </c>
      <c r="B742" s="3" t="s">
        <v>202</v>
      </c>
      <c r="C742" s="3" t="s">
        <v>57</v>
      </c>
      <c r="D742" s="3" t="s">
        <v>19</v>
      </c>
      <c r="E742" s="3" t="s">
        <v>46</v>
      </c>
      <c r="F742" s="3" t="s">
        <v>21</v>
      </c>
      <c r="G742" s="3" t="s">
        <v>11</v>
      </c>
      <c r="H742" s="3">
        <v>11292.0</v>
      </c>
      <c r="I742" s="3" t="s">
        <v>42</v>
      </c>
      <c r="K742" s="3">
        <v>13000.0</v>
      </c>
      <c r="L742" s="3" t="s">
        <v>283</v>
      </c>
      <c r="M742" s="3" t="str">
        <f t="shared" si="1"/>
        <v>Below Target</v>
      </c>
      <c r="N742" s="10">
        <f t="shared" si="2"/>
        <v>0.5210727969</v>
      </c>
      <c r="O742" s="11" t="str">
        <f t="shared" si="3"/>
        <v/>
      </c>
      <c r="P742" s="12">
        <f t="shared" si="4"/>
        <v>9598.2</v>
      </c>
    </row>
    <row r="743" ht="12.75" customHeight="1">
      <c r="A743" s="3" t="s">
        <v>1075</v>
      </c>
      <c r="B743" s="3" t="s">
        <v>49</v>
      </c>
      <c r="C743" s="3" t="s">
        <v>45</v>
      </c>
      <c r="D743" s="3" t="s">
        <v>22</v>
      </c>
      <c r="E743" s="3" t="s">
        <v>58</v>
      </c>
      <c r="F743" s="3" t="s">
        <v>41</v>
      </c>
      <c r="G743" s="3" t="s">
        <v>13</v>
      </c>
      <c r="H743" s="3">
        <v>18991.0</v>
      </c>
      <c r="I743" s="3" t="s">
        <v>23</v>
      </c>
      <c r="J743" s="3">
        <v>0.2</v>
      </c>
      <c r="K743" s="3">
        <v>17000.0</v>
      </c>
      <c r="L743" s="3" t="s">
        <v>88</v>
      </c>
      <c r="M743" s="3" t="str">
        <f t="shared" si="1"/>
        <v>Target Achieved</v>
      </c>
      <c r="N743" s="10">
        <f t="shared" si="2"/>
        <v>0.5230769231</v>
      </c>
      <c r="O743" s="11">
        <f t="shared" si="3"/>
        <v>0.2</v>
      </c>
      <c r="P743" s="12">
        <f t="shared" si="4"/>
        <v>15192.8</v>
      </c>
    </row>
    <row r="744" ht="12.75" customHeight="1">
      <c r="A744" s="3" t="s">
        <v>1076</v>
      </c>
      <c r="B744" s="3" t="s">
        <v>392</v>
      </c>
      <c r="C744" s="3" t="s">
        <v>57</v>
      </c>
      <c r="D744" s="3" t="s">
        <v>19</v>
      </c>
      <c r="E744" s="3" t="s">
        <v>20</v>
      </c>
      <c r="F744" s="3" t="s">
        <v>41</v>
      </c>
      <c r="G744" s="3" t="s">
        <v>13</v>
      </c>
      <c r="H744" s="3">
        <v>12887.0</v>
      </c>
      <c r="I744" s="3" t="s">
        <v>37</v>
      </c>
      <c r="J744" s="3">
        <v>0.1</v>
      </c>
      <c r="K744" s="3">
        <v>13000.0</v>
      </c>
      <c r="L744" s="15" t="s">
        <v>344</v>
      </c>
      <c r="M744" s="3" t="str">
        <f t="shared" si="1"/>
        <v>Below Target</v>
      </c>
      <c r="N744" s="10">
        <f t="shared" si="2"/>
        <v>0.5212355212</v>
      </c>
      <c r="O744" s="11">
        <f t="shared" si="3"/>
        <v>0.1</v>
      </c>
      <c r="P744" s="12">
        <f t="shared" si="4"/>
        <v>11598.3</v>
      </c>
    </row>
    <row r="745" ht="12.75" customHeight="1">
      <c r="A745" s="3" t="s">
        <v>1077</v>
      </c>
      <c r="B745" s="3" t="s">
        <v>298</v>
      </c>
      <c r="C745" s="3" t="s">
        <v>76</v>
      </c>
      <c r="D745" s="3" t="s">
        <v>24</v>
      </c>
      <c r="E745" s="3" t="s">
        <v>58</v>
      </c>
      <c r="F745" s="3" t="s">
        <v>52</v>
      </c>
      <c r="G745" s="3" t="s">
        <v>11</v>
      </c>
      <c r="H745" s="3">
        <v>10834.0</v>
      </c>
      <c r="I745" s="3" t="s">
        <v>47</v>
      </c>
      <c r="J745" s="3">
        <v>0.3</v>
      </c>
      <c r="K745" s="3">
        <v>9000.0</v>
      </c>
      <c r="L745" s="15" t="s">
        <v>103</v>
      </c>
      <c r="M745" s="3" t="str">
        <f t="shared" si="1"/>
        <v>Target Achieved</v>
      </c>
      <c r="N745" s="10">
        <f t="shared" si="2"/>
        <v>0.523255814</v>
      </c>
      <c r="O745" s="11">
        <f t="shared" si="3"/>
        <v>0.3</v>
      </c>
      <c r="P745" s="12">
        <f t="shared" si="4"/>
        <v>7583.8</v>
      </c>
    </row>
    <row r="746" ht="12.75" customHeight="1">
      <c r="A746" s="3" t="s">
        <v>1078</v>
      </c>
      <c r="B746" s="3" t="s">
        <v>400</v>
      </c>
      <c r="C746" s="3" t="s">
        <v>18</v>
      </c>
      <c r="D746" s="3" t="s">
        <v>16</v>
      </c>
      <c r="E746" s="3" t="s">
        <v>20</v>
      </c>
      <c r="F746" s="3" t="s">
        <v>52</v>
      </c>
      <c r="G746" s="3" t="s">
        <v>12</v>
      </c>
      <c r="H746" s="3">
        <v>12500.0</v>
      </c>
      <c r="I746" s="3" t="s">
        <v>47</v>
      </c>
      <c r="J746" s="3">
        <v>0.3</v>
      </c>
      <c r="K746" s="3">
        <v>14000.0</v>
      </c>
      <c r="L746" s="3" t="s">
        <v>283</v>
      </c>
      <c r="M746" s="3" t="str">
        <f t="shared" si="1"/>
        <v>Below Target</v>
      </c>
      <c r="N746" s="10">
        <f t="shared" si="2"/>
        <v>0.5214007782</v>
      </c>
      <c r="O746" s="11">
        <f t="shared" si="3"/>
        <v>0.3</v>
      </c>
      <c r="P746" s="12">
        <f t="shared" si="4"/>
        <v>8750</v>
      </c>
    </row>
    <row r="747" ht="12.75" customHeight="1">
      <c r="A747" s="3" t="s">
        <v>1079</v>
      </c>
      <c r="B747" s="3" t="s">
        <v>370</v>
      </c>
      <c r="C747" s="3" t="s">
        <v>57</v>
      </c>
      <c r="D747" s="3" t="s">
        <v>19</v>
      </c>
      <c r="E747" s="3" t="s">
        <v>58</v>
      </c>
      <c r="F747" s="3" t="s">
        <v>41</v>
      </c>
      <c r="G747" s="3" t="s">
        <v>12</v>
      </c>
      <c r="H747" s="3">
        <v>11892.0</v>
      </c>
      <c r="I747" s="3" t="s">
        <v>37</v>
      </c>
      <c r="J747" s="3">
        <v>0.1</v>
      </c>
      <c r="K747" s="3">
        <v>13000.0</v>
      </c>
      <c r="L747" s="3" t="s">
        <v>245</v>
      </c>
      <c r="M747" s="3" t="str">
        <f t="shared" si="1"/>
        <v>Below Target</v>
      </c>
      <c r="N747" s="10">
        <f t="shared" si="2"/>
        <v>0.5234375</v>
      </c>
      <c r="O747" s="11">
        <f t="shared" si="3"/>
        <v>0.1</v>
      </c>
      <c r="P747" s="12">
        <f t="shared" si="4"/>
        <v>10702.8</v>
      </c>
    </row>
    <row r="748" ht="12.75" customHeight="1">
      <c r="A748" s="3" t="s">
        <v>1080</v>
      </c>
      <c r="B748" s="3" t="s">
        <v>119</v>
      </c>
      <c r="C748" s="3" t="s">
        <v>45</v>
      </c>
      <c r="D748" s="3" t="s">
        <v>22</v>
      </c>
      <c r="E748" s="3" t="s">
        <v>46</v>
      </c>
      <c r="F748" s="3" t="s">
        <v>41</v>
      </c>
      <c r="G748" s="3" t="s">
        <v>11</v>
      </c>
      <c r="H748" s="3">
        <v>17394.0</v>
      </c>
      <c r="I748" s="3" t="s">
        <v>37</v>
      </c>
      <c r="J748" s="3">
        <v>0.1</v>
      </c>
      <c r="K748" s="3">
        <v>17000.0</v>
      </c>
      <c r="L748" s="3" t="s">
        <v>314</v>
      </c>
      <c r="M748" s="3" t="str">
        <f t="shared" si="1"/>
        <v>Target Achieved</v>
      </c>
      <c r="N748" s="10">
        <f t="shared" si="2"/>
        <v>0.5254901961</v>
      </c>
      <c r="O748" s="11">
        <f t="shared" si="3"/>
        <v>0.1</v>
      </c>
      <c r="P748" s="12">
        <f t="shared" si="4"/>
        <v>15654.6</v>
      </c>
    </row>
    <row r="749" ht="12.75" customHeight="1">
      <c r="A749" s="3" t="s">
        <v>1081</v>
      </c>
      <c r="B749" s="3" t="s">
        <v>388</v>
      </c>
      <c r="C749" s="3" t="s">
        <v>18</v>
      </c>
      <c r="D749" s="3" t="s">
        <v>16</v>
      </c>
      <c r="E749" s="3" t="s">
        <v>46</v>
      </c>
      <c r="F749" s="3" t="s">
        <v>52</v>
      </c>
      <c r="G749" s="3" t="s">
        <v>12</v>
      </c>
      <c r="H749" s="3">
        <v>13946.0</v>
      </c>
      <c r="I749" s="3" t="s">
        <v>42</v>
      </c>
      <c r="K749" s="3">
        <v>14000.0</v>
      </c>
      <c r="L749" s="15" t="s">
        <v>114</v>
      </c>
      <c r="M749" s="3" t="str">
        <f t="shared" si="1"/>
        <v>Below Target</v>
      </c>
      <c r="N749" s="10">
        <f t="shared" si="2"/>
        <v>0.5236220472</v>
      </c>
      <c r="O749" s="11" t="str">
        <f t="shared" si="3"/>
        <v/>
      </c>
      <c r="P749" s="12">
        <f t="shared" si="4"/>
        <v>11854.1</v>
      </c>
    </row>
    <row r="750" ht="12.75" customHeight="1">
      <c r="A750" s="3" t="s">
        <v>1082</v>
      </c>
      <c r="B750" s="3" t="s">
        <v>578</v>
      </c>
      <c r="C750" s="3" t="s">
        <v>18</v>
      </c>
      <c r="D750" s="3" t="s">
        <v>16</v>
      </c>
      <c r="E750" s="3" t="s">
        <v>46</v>
      </c>
      <c r="F750" s="3" t="s">
        <v>41</v>
      </c>
      <c r="G750" s="3" t="s">
        <v>11</v>
      </c>
      <c r="H750" s="3">
        <v>12374.0</v>
      </c>
      <c r="I750" s="3" t="s">
        <v>42</v>
      </c>
      <c r="K750" s="3">
        <v>14000.0</v>
      </c>
      <c r="L750" s="3" t="s">
        <v>332</v>
      </c>
      <c r="M750" s="3" t="str">
        <f t="shared" si="1"/>
        <v>Below Target</v>
      </c>
      <c r="N750" s="10">
        <f t="shared" si="2"/>
        <v>0.5256916996</v>
      </c>
      <c r="O750" s="11" t="str">
        <f t="shared" si="3"/>
        <v/>
      </c>
      <c r="P750" s="12">
        <f t="shared" si="4"/>
        <v>10517.9</v>
      </c>
    </row>
    <row r="751" ht="12.75" customHeight="1">
      <c r="A751" s="3" t="s">
        <v>1083</v>
      </c>
      <c r="B751" s="3" t="s">
        <v>189</v>
      </c>
      <c r="C751" s="3" t="s">
        <v>18</v>
      </c>
      <c r="D751" s="3" t="s">
        <v>16</v>
      </c>
      <c r="E751" s="3" t="s">
        <v>46</v>
      </c>
      <c r="F751" s="3" t="s">
        <v>21</v>
      </c>
      <c r="G751" s="3" t="s">
        <v>12</v>
      </c>
      <c r="H751" s="3">
        <v>12630.0</v>
      </c>
      <c r="I751" s="3" t="s">
        <v>42</v>
      </c>
      <c r="K751" s="3">
        <v>14000.0</v>
      </c>
      <c r="L751" s="3" t="s">
        <v>328</v>
      </c>
      <c r="M751" s="3" t="str">
        <f t="shared" si="1"/>
        <v>Below Target</v>
      </c>
      <c r="N751" s="10">
        <f t="shared" si="2"/>
        <v>0.5277777778</v>
      </c>
      <c r="O751" s="11" t="str">
        <f t="shared" si="3"/>
        <v/>
      </c>
      <c r="P751" s="12">
        <f t="shared" si="4"/>
        <v>10735.5</v>
      </c>
    </row>
    <row r="752" ht="12.75" customHeight="1">
      <c r="A752" s="3" t="s">
        <v>1084</v>
      </c>
      <c r="B752" s="3" t="s">
        <v>943</v>
      </c>
      <c r="C752" s="3" t="s">
        <v>76</v>
      </c>
      <c r="D752" s="3" t="s">
        <v>24</v>
      </c>
      <c r="E752" s="3" t="s">
        <v>46</v>
      </c>
      <c r="F752" s="3" t="s">
        <v>21</v>
      </c>
      <c r="G752" s="3" t="s">
        <v>12</v>
      </c>
      <c r="H752" s="3">
        <v>10229.0</v>
      </c>
      <c r="I752" s="3" t="s">
        <v>47</v>
      </c>
      <c r="J752" s="3">
        <v>0.3</v>
      </c>
      <c r="K752" s="3">
        <v>9000.0</v>
      </c>
      <c r="L752" s="3" t="s">
        <v>330</v>
      </c>
      <c r="M752" s="3" t="str">
        <f t="shared" si="1"/>
        <v>Target Achieved</v>
      </c>
      <c r="N752" s="10">
        <f t="shared" si="2"/>
        <v>0.5298804781</v>
      </c>
      <c r="O752" s="11">
        <f t="shared" si="3"/>
        <v>0.3</v>
      </c>
      <c r="P752" s="12">
        <f t="shared" si="4"/>
        <v>7160.3</v>
      </c>
    </row>
    <row r="753" ht="12.75" customHeight="1">
      <c r="A753" s="3" t="s">
        <v>1085</v>
      </c>
      <c r="B753" s="3" t="s">
        <v>545</v>
      </c>
      <c r="C753" s="3" t="s">
        <v>57</v>
      </c>
      <c r="D753" s="3" t="s">
        <v>19</v>
      </c>
      <c r="E753" s="3" t="s">
        <v>46</v>
      </c>
      <c r="F753" s="3" t="s">
        <v>52</v>
      </c>
      <c r="G753" s="3" t="s">
        <v>11</v>
      </c>
      <c r="H753" s="3">
        <v>12467.0</v>
      </c>
      <c r="I753" s="3" t="s">
        <v>23</v>
      </c>
      <c r="J753" s="3">
        <v>0.2</v>
      </c>
      <c r="K753" s="3">
        <v>13000.0</v>
      </c>
      <c r="L753" s="3" t="s">
        <v>320</v>
      </c>
      <c r="M753" s="3" t="str">
        <f t="shared" si="1"/>
        <v>Below Target</v>
      </c>
      <c r="N753" s="10">
        <f t="shared" si="2"/>
        <v>0.528</v>
      </c>
      <c r="O753" s="11">
        <f t="shared" si="3"/>
        <v>0.2</v>
      </c>
      <c r="P753" s="12">
        <f t="shared" si="4"/>
        <v>9973.6</v>
      </c>
    </row>
    <row r="754" ht="12.75" customHeight="1">
      <c r="A754" s="3" t="s">
        <v>1086</v>
      </c>
      <c r="B754" s="3" t="s">
        <v>1087</v>
      </c>
      <c r="C754" s="3" t="s">
        <v>76</v>
      </c>
      <c r="D754" s="3" t="s">
        <v>24</v>
      </c>
      <c r="E754" s="3" t="s">
        <v>20</v>
      </c>
      <c r="F754" s="3" t="s">
        <v>21</v>
      </c>
      <c r="G754" s="3" t="s">
        <v>12</v>
      </c>
      <c r="H754" s="3">
        <v>8207.0</v>
      </c>
      <c r="I754" s="3" t="s">
        <v>42</v>
      </c>
      <c r="K754" s="3">
        <v>9000.0</v>
      </c>
      <c r="L754" s="3" t="s">
        <v>96</v>
      </c>
      <c r="M754" s="3" t="str">
        <f t="shared" si="1"/>
        <v>Below Target</v>
      </c>
      <c r="N754" s="10">
        <f t="shared" si="2"/>
        <v>0.5301204819</v>
      </c>
      <c r="O754" s="11" t="str">
        <f t="shared" si="3"/>
        <v/>
      </c>
      <c r="P754" s="12">
        <f t="shared" si="4"/>
        <v>6975.95</v>
      </c>
    </row>
    <row r="755" ht="12.75" customHeight="1">
      <c r="A755" s="3" t="s">
        <v>1088</v>
      </c>
      <c r="B755" s="3" t="s">
        <v>266</v>
      </c>
      <c r="C755" s="3" t="s">
        <v>57</v>
      </c>
      <c r="D755" s="3" t="s">
        <v>19</v>
      </c>
      <c r="E755" s="3" t="s">
        <v>20</v>
      </c>
      <c r="F755" s="3" t="s">
        <v>21</v>
      </c>
      <c r="G755" s="3" t="s">
        <v>11</v>
      </c>
      <c r="H755" s="3">
        <v>13999.0</v>
      </c>
      <c r="K755" s="3">
        <v>13000.0</v>
      </c>
      <c r="L755" s="3" t="s">
        <v>73</v>
      </c>
      <c r="M755" s="3" t="str">
        <f t="shared" si="1"/>
        <v>Target Achieved</v>
      </c>
      <c r="N755" s="10">
        <f t="shared" si="2"/>
        <v>0.5322580645</v>
      </c>
      <c r="O755" s="11">
        <f t="shared" si="3"/>
        <v>0</v>
      </c>
      <c r="P755" s="12">
        <f t="shared" si="4"/>
        <v>13999</v>
      </c>
    </row>
    <row r="756" ht="12.75" customHeight="1">
      <c r="A756" s="3" t="s">
        <v>1089</v>
      </c>
      <c r="B756" s="3" t="s">
        <v>415</v>
      </c>
      <c r="C756" s="3" t="s">
        <v>57</v>
      </c>
      <c r="D756" s="3" t="s">
        <v>19</v>
      </c>
      <c r="E756" s="3" t="s">
        <v>46</v>
      </c>
      <c r="F756" s="3" t="s">
        <v>52</v>
      </c>
      <c r="G756" s="3" t="s">
        <v>13</v>
      </c>
      <c r="H756" s="3">
        <v>12840.0</v>
      </c>
      <c r="I756" s="3" t="s">
        <v>47</v>
      </c>
      <c r="J756" s="3">
        <v>0.3</v>
      </c>
      <c r="K756" s="3">
        <v>13000.0</v>
      </c>
      <c r="L756" s="3" t="s">
        <v>333</v>
      </c>
      <c r="M756" s="3" t="str">
        <f t="shared" si="1"/>
        <v>Below Target</v>
      </c>
      <c r="N756" s="10">
        <f t="shared" si="2"/>
        <v>0.5303643725</v>
      </c>
      <c r="O756" s="11">
        <f t="shared" si="3"/>
        <v>0.3</v>
      </c>
      <c r="P756" s="12">
        <f t="shared" si="4"/>
        <v>8988</v>
      </c>
    </row>
    <row r="757" ht="12.75" customHeight="1">
      <c r="A757" s="3" t="s">
        <v>1090</v>
      </c>
      <c r="B757" s="3" t="s">
        <v>403</v>
      </c>
      <c r="C757" s="3" t="s">
        <v>45</v>
      </c>
      <c r="D757" s="3" t="s">
        <v>22</v>
      </c>
      <c r="E757" s="3" t="s">
        <v>58</v>
      </c>
      <c r="F757" s="3" t="s">
        <v>41</v>
      </c>
      <c r="G757" s="3" t="s">
        <v>12</v>
      </c>
      <c r="H757" s="3">
        <v>17072.0</v>
      </c>
      <c r="K757" s="3">
        <v>17000.0</v>
      </c>
      <c r="L757" s="3" t="s">
        <v>319</v>
      </c>
      <c r="M757" s="3" t="str">
        <f t="shared" si="1"/>
        <v>Target Achieved</v>
      </c>
      <c r="N757" s="10">
        <f t="shared" si="2"/>
        <v>0.5325203252</v>
      </c>
      <c r="O757" s="11">
        <f t="shared" si="3"/>
        <v>0</v>
      </c>
      <c r="P757" s="12">
        <f t="shared" si="4"/>
        <v>17072</v>
      </c>
    </row>
    <row r="758" ht="12.75" customHeight="1">
      <c r="A758" s="3" t="s">
        <v>1091</v>
      </c>
      <c r="B758" s="3" t="s">
        <v>657</v>
      </c>
      <c r="C758" s="3" t="s">
        <v>45</v>
      </c>
      <c r="D758" s="3" t="s">
        <v>22</v>
      </c>
      <c r="E758" s="3" t="s">
        <v>20</v>
      </c>
      <c r="F758" s="3" t="s">
        <v>41</v>
      </c>
      <c r="G758" s="3" t="s">
        <v>11</v>
      </c>
      <c r="H758" s="3">
        <v>17953.0</v>
      </c>
      <c r="I758" s="3" t="s">
        <v>37</v>
      </c>
      <c r="J758" s="3">
        <v>0.1</v>
      </c>
      <c r="K758" s="3">
        <v>17000.0</v>
      </c>
      <c r="L758" s="15" t="s">
        <v>317</v>
      </c>
      <c r="M758" s="3" t="str">
        <f t="shared" si="1"/>
        <v>Target Achieved</v>
      </c>
      <c r="N758" s="10">
        <f t="shared" si="2"/>
        <v>0.5306122449</v>
      </c>
      <c r="O758" s="11">
        <f t="shared" si="3"/>
        <v>0.1</v>
      </c>
      <c r="P758" s="12">
        <f t="shared" si="4"/>
        <v>16157.7</v>
      </c>
    </row>
    <row r="759" ht="12.75" customHeight="1">
      <c r="A759" s="3" t="s">
        <v>1092</v>
      </c>
      <c r="B759" s="3" t="s">
        <v>138</v>
      </c>
      <c r="C759" s="3" t="s">
        <v>76</v>
      </c>
      <c r="D759" s="3" t="s">
        <v>24</v>
      </c>
      <c r="E759" s="3" t="s">
        <v>46</v>
      </c>
      <c r="F759" s="3" t="s">
        <v>52</v>
      </c>
      <c r="G759" s="3" t="s">
        <v>12</v>
      </c>
      <c r="H759" s="3">
        <v>9037.0</v>
      </c>
      <c r="I759" s="3" t="s">
        <v>42</v>
      </c>
      <c r="K759" s="3">
        <v>9000.0</v>
      </c>
      <c r="L759" s="15" t="s">
        <v>114</v>
      </c>
      <c r="M759" s="3" t="str">
        <f t="shared" si="1"/>
        <v>Target Achieved</v>
      </c>
      <c r="N759" s="10">
        <f t="shared" si="2"/>
        <v>0.5286885246</v>
      </c>
      <c r="O759" s="11" t="str">
        <f t="shared" si="3"/>
        <v/>
      </c>
      <c r="P759" s="12">
        <f t="shared" si="4"/>
        <v>7681.45</v>
      </c>
    </row>
    <row r="760" ht="12.75" customHeight="1">
      <c r="A760" s="3" t="s">
        <v>1093</v>
      </c>
      <c r="B760" s="3" t="s">
        <v>385</v>
      </c>
      <c r="C760" s="3" t="s">
        <v>45</v>
      </c>
      <c r="D760" s="3" t="s">
        <v>22</v>
      </c>
      <c r="E760" s="3" t="s">
        <v>58</v>
      </c>
      <c r="F760" s="3" t="s">
        <v>52</v>
      </c>
      <c r="G760" s="3" t="s">
        <v>11</v>
      </c>
      <c r="H760" s="3">
        <v>15452.0</v>
      </c>
      <c r="I760" s="3" t="s">
        <v>37</v>
      </c>
      <c r="J760" s="3">
        <v>0.1</v>
      </c>
      <c r="K760" s="3">
        <v>17000.0</v>
      </c>
      <c r="L760" s="15" t="s">
        <v>344</v>
      </c>
      <c r="M760" s="3" t="str">
        <f t="shared" si="1"/>
        <v>Below Target</v>
      </c>
      <c r="N760" s="10">
        <f t="shared" si="2"/>
        <v>0.5267489712</v>
      </c>
      <c r="O760" s="11">
        <f t="shared" si="3"/>
        <v>0.1</v>
      </c>
      <c r="P760" s="12">
        <f t="shared" si="4"/>
        <v>13906.8</v>
      </c>
    </row>
    <row r="761" ht="12.75" customHeight="1">
      <c r="A761" s="3" t="s">
        <v>1094</v>
      </c>
      <c r="B761" s="3" t="s">
        <v>17</v>
      </c>
      <c r="C761" s="3" t="s">
        <v>18</v>
      </c>
      <c r="D761" s="3" t="s">
        <v>16</v>
      </c>
      <c r="E761" s="3" t="s">
        <v>46</v>
      </c>
      <c r="F761" s="3" t="s">
        <v>41</v>
      </c>
      <c r="G761" s="3" t="s">
        <v>13</v>
      </c>
      <c r="H761" s="3">
        <v>12827.0</v>
      </c>
      <c r="I761" s="3" t="s">
        <v>37</v>
      </c>
      <c r="J761" s="3">
        <v>0.1</v>
      </c>
      <c r="K761" s="3">
        <v>14000.0</v>
      </c>
      <c r="L761" s="15" t="s">
        <v>177</v>
      </c>
      <c r="M761" s="3" t="str">
        <f t="shared" si="1"/>
        <v>Below Target</v>
      </c>
      <c r="N761" s="10">
        <f t="shared" si="2"/>
        <v>0.5289256198</v>
      </c>
      <c r="O761" s="11">
        <f t="shared" si="3"/>
        <v>0.1</v>
      </c>
      <c r="P761" s="12">
        <f t="shared" si="4"/>
        <v>11544.3</v>
      </c>
    </row>
    <row r="762" ht="12.75" customHeight="1">
      <c r="A762" s="3" t="s">
        <v>1095</v>
      </c>
      <c r="B762" s="3" t="s">
        <v>288</v>
      </c>
      <c r="C762" s="3" t="s">
        <v>18</v>
      </c>
      <c r="D762" s="3" t="s">
        <v>16</v>
      </c>
      <c r="E762" s="3" t="s">
        <v>20</v>
      </c>
      <c r="F762" s="3" t="s">
        <v>52</v>
      </c>
      <c r="G762" s="3" t="s">
        <v>11</v>
      </c>
      <c r="H762" s="3">
        <v>14694.0</v>
      </c>
      <c r="K762" s="3">
        <v>14000.0</v>
      </c>
      <c r="L762" s="15" t="s">
        <v>344</v>
      </c>
      <c r="M762" s="3" t="str">
        <f t="shared" si="1"/>
        <v>Target Achieved</v>
      </c>
      <c r="N762" s="10">
        <f t="shared" si="2"/>
        <v>0.531120332</v>
      </c>
      <c r="O762" s="11">
        <f t="shared" si="3"/>
        <v>0</v>
      </c>
      <c r="P762" s="12">
        <f t="shared" si="4"/>
        <v>14694</v>
      </c>
    </row>
    <row r="763" ht="12.75" customHeight="1">
      <c r="A763" s="3" t="s">
        <v>1096</v>
      </c>
      <c r="B763" s="3" t="s">
        <v>292</v>
      </c>
      <c r="C763" s="3" t="s">
        <v>45</v>
      </c>
      <c r="D763" s="3" t="s">
        <v>22</v>
      </c>
      <c r="E763" s="3" t="s">
        <v>46</v>
      </c>
      <c r="F763" s="3" t="s">
        <v>21</v>
      </c>
      <c r="G763" s="3" t="s">
        <v>13</v>
      </c>
      <c r="H763" s="3">
        <v>17481.0</v>
      </c>
      <c r="I763" s="3" t="s">
        <v>37</v>
      </c>
      <c r="J763" s="3">
        <v>0.1</v>
      </c>
      <c r="K763" s="3">
        <v>17000.0</v>
      </c>
      <c r="L763" s="15" t="s">
        <v>308</v>
      </c>
      <c r="M763" s="3" t="str">
        <f t="shared" si="1"/>
        <v>Target Achieved</v>
      </c>
      <c r="N763" s="10">
        <f t="shared" si="2"/>
        <v>0.5291666667</v>
      </c>
      <c r="O763" s="11">
        <f t="shared" si="3"/>
        <v>0.1</v>
      </c>
      <c r="P763" s="12">
        <f t="shared" si="4"/>
        <v>15732.9</v>
      </c>
    </row>
    <row r="764" ht="12.75" customHeight="1">
      <c r="A764" s="3" t="s">
        <v>1097</v>
      </c>
      <c r="B764" s="3" t="s">
        <v>653</v>
      </c>
      <c r="C764" s="3" t="s">
        <v>76</v>
      </c>
      <c r="D764" s="3" t="s">
        <v>24</v>
      </c>
      <c r="E764" s="3" t="s">
        <v>46</v>
      </c>
      <c r="F764" s="3" t="s">
        <v>21</v>
      </c>
      <c r="G764" s="3" t="s">
        <v>12</v>
      </c>
      <c r="H764" s="3">
        <v>7248.0</v>
      </c>
      <c r="I764" s="3" t="s">
        <v>47</v>
      </c>
      <c r="J764" s="3">
        <v>0.3</v>
      </c>
      <c r="K764" s="3">
        <v>9000.0</v>
      </c>
      <c r="L764" s="15" t="s">
        <v>349</v>
      </c>
      <c r="M764" s="3" t="str">
        <f t="shared" si="1"/>
        <v>Below Target</v>
      </c>
      <c r="N764" s="10">
        <f t="shared" si="2"/>
        <v>0.5271966527</v>
      </c>
      <c r="O764" s="11">
        <f t="shared" si="3"/>
        <v>0.3</v>
      </c>
      <c r="P764" s="12">
        <f t="shared" si="4"/>
        <v>5073.6</v>
      </c>
    </row>
    <row r="765" ht="12.75" customHeight="1">
      <c r="A765" s="3" t="s">
        <v>1098</v>
      </c>
      <c r="B765" s="3" t="s">
        <v>166</v>
      </c>
      <c r="C765" s="3" t="s">
        <v>45</v>
      </c>
      <c r="D765" s="3" t="s">
        <v>22</v>
      </c>
      <c r="E765" s="3" t="s">
        <v>20</v>
      </c>
      <c r="F765" s="3" t="s">
        <v>41</v>
      </c>
      <c r="G765" s="3" t="s">
        <v>12</v>
      </c>
      <c r="H765" s="3">
        <v>16088.0</v>
      </c>
      <c r="I765" s="3" t="s">
        <v>42</v>
      </c>
      <c r="K765" s="3">
        <v>17000.0</v>
      </c>
      <c r="L765" s="15" t="s">
        <v>341</v>
      </c>
      <c r="M765" s="3" t="str">
        <f t="shared" si="1"/>
        <v>Below Target</v>
      </c>
      <c r="N765" s="10">
        <f t="shared" si="2"/>
        <v>0.5294117647</v>
      </c>
      <c r="O765" s="11" t="str">
        <f t="shared" si="3"/>
        <v/>
      </c>
      <c r="P765" s="12">
        <f t="shared" si="4"/>
        <v>13674.8</v>
      </c>
    </row>
    <row r="766" ht="12.75" customHeight="1">
      <c r="A766" s="3" t="s">
        <v>1099</v>
      </c>
      <c r="B766" s="3" t="s">
        <v>1100</v>
      </c>
      <c r="C766" s="3" t="s">
        <v>45</v>
      </c>
      <c r="D766" s="3" t="s">
        <v>22</v>
      </c>
      <c r="E766" s="3" t="s">
        <v>46</v>
      </c>
      <c r="F766" s="3" t="s">
        <v>41</v>
      </c>
      <c r="G766" s="3" t="s">
        <v>12</v>
      </c>
      <c r="H766" s="3">
        <v>15397.0</v>
      </c>
      <c r="I766" s="3" t="s">
        <v>37</v>
      </c>
      <c r="J766" s="3">
        <v>0.1</v>
      </c>
      <c r="K766" s="3">
        <v>17000.0</v>
      </c>
      <c r="L766" s="3" t="s">
        <v>319</v>
      </c>
      <c r="M766" s="3" t="str">
        <f t="shared" si="1"/>
        <v>Below Target</v>
      </c>
      <c r="N766" s="10">
        <f t="shared" si="2"/>
        <v>0.5316455696</v>
      </c>
      <c r="O766" s="11">
        <f t="shared" si="3"/>
        <v>0.1</v>
      </c>
      <c r="P766" s="12">
        <f t="shared" si="4"/>
        <v>13857.3</v>
      </c>
    </row>
    <row r="767" ht="12.75" customHeight="1">
      <c r="A767" s="3" t="s">
        <v>1101</v>
      </c>
      <c r="B767" s="3" t="s">
        <v>40</v>
      </c>
      <c r="C767" s="3" t="s">
        <v>76</v>
      </c>
      <c r="D767" s="3" t="s">
        <v>24</v>
      </c>
      <c r="E767" s="3" t="s">
        <v>46</v>
      </c>
      <c r="F767" s="3" t="s">
        <v>41</v>
      </c>
      <c r="G767" s="3" t="s">
        <v>12</v>
      </c>
      <c r="H767" s="3">
        <v>9690.0</v>
      </c>
      <c r="I767" s="3" t="s">
        <v>23</v>
      </c>
      <c r="J767" s="3">
        <v>0.2</v>
      </c>
      <c r="K767" s="3">
        <v>9000.0</v>
      </c>
      <c r="L767" s="15" t="s">
        <v>352</v>
      </c>
      <c r="M767" s="3" t="str">
        <f t="shared" si="1"/>
        <v>Target Achieved</v>
      </c>
      <c r="N767" s="10">
        <f t="shared" si="2"/>
        <v>0.5338983051</v>
      </c>
      <c r="O767" s="11">
        <f t="shared" si="3"/>
        <v>0.2</v>
      </c>
      <c r="P767" s="12">
        <f t="shared" si="4"/>
        <v>7752</v>
      </c>
    </row>
    <row r="768" ht="12.75" customHeight="1">
      <c r="A768" s="3" t="s">
        <v>1102</v>
      </c>
      <c r="B768" s="3" t="s">
        <v>522</v>
      </c>
      <c r="C768" s="3" t="s">
        <v>76</v>
      </c>
      <c r="D768" s="3" t="s">
        <v>24</v>
      </c>
      <c r="E768" s="3" t="s">
        <v>20</v>
      </c>
      <c r="F768" s="3" t="s">
        <v>41</v>
      </c>
      <c r="G768" s="3" t="s">
        <v>12</v>
      </c>
      <c r="H768" s="3">
        <v>9361.0</v>
      </c>
      <c r="I768" s="3" t="s">
        <v>47</v>
      </c>
      <c r="J768" s="3">
        <v>0.3</v>
      </c>
      <c r="K768" s="3">
        <v>9000.0</v>
      </c>
      <c r="L768" s="3" t="s">
        <v>238</v>
      </c>
      <c r="M768" s="3" t="str">
        <f t="shared" si="1"/>
        <v>Target Achieved</v>
      </c>
      <c r="N768" s="10">
        <f t="shared" si="2"/>
        <v>0.5319148936</v>
      </c>
      <c r="O768" s="11">
        <f t="shared" si="3"/>
        <v>0.3</v>
      </c>
      <c r="P768" s="12">
        <f t="shared" si="4"/>
        <v>6552.7</v>
      </c>
    </row>
    <row r="769" ht="12.75" customHeight="1">
      <c r="A769" s="3" t="s">
        <v>1103</v>
      </c>
      <c r="B769" s="3" t="s">
        <v>583</v>
      </c>
      <c r="C769" s="3" t="s">
        <v>76</v>
      </c>
      <c r="D769" s="3" t="s">
        <v>24</v>
      </c>
      <c r="E769" s="3" t="s">
        <v>46</v>
      </c>
      <c r="F769" s="3" t="s">
        <v>41</v>
      </c>
      <c r="G769" s="3" t="s">
        <v>13</v>
      </c>
      <c r="H769" s="3">
        <v>9252.0</v>
      </c>
      <c r="K769" s="3">
        <v>9000.0</v>
      </c>
      <c r="L769" s="15" t="s">
        <v>155</v>
      </c>
      <c r="M769" s="3" t="str">
        <f t="shared" si="1"/>
        <v>Target Achieved</v>
      </c>
      <c r="N769" s="10">
        <f t="shared" si="2"/>
        <v>0.5299145299</v>
      </c>
      <c r="O769" s="11">
        <f t="shared" si="3"/>
        <v>0</v>
      </c>
      <c r="P769" s="12">
        <f t="shared" si="4"/>
        <v>9252</v>
      </c>
    </row>
    <row r="770" ht="12.75" customHeight="1">
      <c r="A770" s="3" t="s">
        <v>1104</v>
      </c>
      <c r="B770" s="3" t="s">
        <v>192</v>
      </c>
      <c r="C770" s="3" t="s">
        <v>57</v>
      </c>
      <c r="D770" s="3" t="s">
        <v>19</v>
      </c>
      <c r="E770" s="3" t="s">
        <v>20</v>
      </c>
      <c r="F770" s="3" t="s">
        <v>52</v>
      </c>
      <c r="G770" s="3" t="s">
        <v>11</v>
      </c>
      <c r="H770" s="3">
        <v>14823.0</v>
      </c>
      <c r="I770" s="3" t="s">
        <v>47</v>
      </c>
      <c r="J770" s="3">
        <v>0.3</v>
      </c>
      <c r="K770" s="3">
        <v>13000.0</v>
      </c>
      <c r="L770" s="3" t="s">
        <v>338</v>
      </c>
      <c r="M770" s="3" t="str">
        <f t="shared" si="1"/>
        <v>Target Achieved</v>
      </c>
      <c r="N770" s="10">
        <f t="shared" si="2"/>
        <v>0.5278969957</v>
      </c>
      <c r="O770" s="11">
        <f t="shared" si="3"/>
        <v>0.3</v>
      </c>
      <c r="P770" s="12">
        <f t="shared" si="4"/>
        <v>10376.1</v>
      </c>
    </row>
    <row r="771" ht="12.75" customHeight="1">
      <c r="A771" s="3" t="s">
        <v>1105</v>
      </c>
      <c r="B771" s="3" t="s">
        <v>396</v>
      </c>
      <c r="C771" s="3" t="s">
        <v>45</v>
      </c>
      <c r="D771" s="3" t="s">
        <v>22</v>
      </c>
      <c r="E771" s="3" t="s">
        <v>58</v>
      </c>
      <c r="F771" s="3" t="s">
        <v>21</v>
      </c>
      <c r="G771" s="3" t="s">
        <v>12</v>
      </c>
      <c r="H771" s="3">
        <v>16763.0</v>
      </c>
      <c r="I771" s="3" t="s">
        <v>47</v>
      </c>
      <c r="J771" s="3">
        <v>0.3</v>
      </c>
      <c r="K771" s="3">
        <v>17000.0</v>
      </c>
      <c r="L771" s="15" t="s">
        <v>130</v>
      </c>
      <c r="M771" s="3" t="str">
        <f t="shared" si="1"/>
        <v>Below Target</v>
      </c>
      <c r="N771" s="10">
        <f t="shared" si="2"/>
        <v>0.525862069</v>
      </c>
      <c r="O771" s="11">
        <f t="shared" si="3"/>
        <v>0.3</v>
      </c>
      <c r="P771" s="12">
        <f t="shared" si="4"/>
        <v>11734.1</v>
      </c>
    </row>
    <row r="772" ht="12.75" customHeight="1">
      <c r="A772" s="3" t="s">
        <v>1106</v>
      </c>
      <c r="B772" s="3" t="s">
        <v>70</v>
      </c>
      <c r="C772" s="3" t="s">
        <v>57</v>
      </c>
      <c r="D772" s="3" t="s">
        <v>19</v>
      </c>
      <c r="E772" s="3" t="s">
        <v>58</v>
      </c>
      <c r="F772" s="3" t="s">
        <v>52</v>
      </c>
      <c r="G772" s="3" t="s">
        <v>12</v>
      </c>
      <c r="H772" s="3">
        <v>12040.0</v>
      </c>
      <c r="I772" s="3" t="s">
        <v>47</v>
      </c>
      <c r="J772" s="3">
        <v>0.3</v>
      </c>
      <c r="K772" s="3">
        <v>13000.0</v>
      </c>
      <c r="L772" s="3" t="s">
        <v>203</v>
      </c>
      <c r="M772" s="3" t="str">
        <f t="shared" si="1"/>
        <v>Below Target</v>
      </c>
      <c r="N772" s="10">
        <f t="shared" si="2"/>
        <v>0.5281385281</v>
      </c>
      <c r="O772" s="11">
        <f t="shared" si="3"/>
        <v>0.3</v>
      </c>
      <c r="P772" s="12">
        <f t="shared" si="4"/>
        <v>8428</v>
      </c>
    </row>
    <row r="773" ht="12.75" customHeight="1">
      <c r="A773" s="3" t="s">
        <v>1107</v>
      </c>
      <c r="B773" s="3" t="s">
        <v>64</v>
      </c>
      <c r="C773" s="3" t="s">
        <v>18</v>
      </c>
      <c r="D773" s="3" t="s">
        <v>16</v>
      </c>
      <c r="E773" s="3" t="s">
        <v>20</v>
      </c>
      <c r="F773" s="3" t="s">
        <v>41</v>
      </c>
      <c r="G773" s="3" t="s">
        <v>11</v>
      </c>
      <c r="H773" s="3">
        <v>14440.0</v>
      </c>
      <c r="I773" s="3" t="s">
        <v>37</v>
      </c>
      <c r="J773" s="3">
        <v>0.1</v>
      </c>
      <c r="K773" s="3">
        <v>14000.0</v>
      </c>
      <c r="L773" s="15" t="s">
        <v>344</v>
      </c>
      <c r="M773" s="3" t="str">
        <f t="shared" si="1"/>
        <v>Target Achieved</v>
      </c>
      <c r="N773" s="10">
        <f t="shared" si="2"/>
        <v>0.5304347826</v>
      </c>
      <c r="O773" s="11">
        <f t="shared" si="3"/>
        <v>0.1</v>
      </c>
      <c r="P773" s="12">
        <f t="shared" si="4"/>
        <v>12996</v>
      </c>
    </row>
    <row r="774" ht="12.75" customHeight="1">
      <c r="A774" s="3" t="s">
        <v>1108</v>
      </c>
      <c r="B774" s="3" t="s">
        <v>331</v>
      </c>
      <c r="C774" s="3" t="s">
        <v>18</v>
      </c>
      <c r="D774" s="3" t="s">
        <v>16</v>
      </c>
      <c r="E774" s="3" t="s">
        <v>58</v>
      </c>
      <c r="F774" s="3" t="s">
        <v>41</v>
      </c>
      <c r="G774" s="3" t="s">
        <v>13</v>
      </c>
      <c r="H774" s="3">
        <v>15505.0</v>
      </c>
      <c r="I774" s="3" t="s">
        <v>47</v>
      </c>
      <c r="J774" s="3">
        <v>0.3</v>
      </c>
      <c r="K774" s="3">
        <v>14000.0</v>
      </c>
      <c r="L774" s="15" t="s">
        <v>211</v>
      </c>
      <c r="M774" s="3" t="str">
        <f t="shared" si="1"/>
        <v>Target Achieved</v>
      </c>
      <c r="N774" s="10">
        <f t="shared" si="2"/>
        <v>0.5283842795</v>
      </c>
      <c r="O774" s="11">
        <f t="shared" si="3"/>
        <v>0.3</v>
      </c>
      <c r="P774" s="12">
        <f t="shared" si="4"/>
        <v>10853.5</v>
      </c>
    </row>
    <row r="775" ht="12.75" customHeight="1">
      <c r="A775" s="3" t="s">
        <v>1109</v>
      </c>
      <c r="B775" s="3" t="s">
        <v>180</v>
      </c>
      <c r="C775" s="3" t="s">
        <v>45</v>
      </c>
      <c r="D775" s="3" t="s">
        <v>22</v>
      </c>
      <c r="E775" s="3" t="s">
        <v>20</v>
      </c>
      <c r="F775" s="3" t="s">
        <v>52</v>
      </c>
      <c r="G775" s="3" t="s">
        <v>12</v>
      </c>
      <c r="H775" s="3">
        <v>17337.0</v>
      </c>
      <c r="I775" s="3" t="s">
        <v>42</v>
      </c>
      <c r="K775" s="3">
        <v>17000.0</v>
      </c>
      <c r="L775" s="15" t="s">
        <v>114</v>
      </c>
      <c r="M775" s="3" t="str">
        <f t="shared" si="1"/>
        <v>Target Achieved</v>
      </c>
      <c r="N775" s="10">
        <f t="shared" si="2"/>
        <v>0.5263157895</v>
      </c>
      <c r="O775" s="11" t="str">
        <f t="shared" si="3"/>
        <v/>
      </c>
      <c r="P775" s="12">
        <f t="shared" si="4"/>
        <v>14736.45</v>
      </c>
    </row>
    <row r="776" ht="12.75" customHeight="1">
      <c r="A776" s="3" t="s">
        <v>1110</v>
      </c>
      <c r="B776" s="3" t="s">
        <v>56</v>
      </c>
      <c r="C776" s="3" t="s">
        <v>76</v>
      </c>
      <c r="D776" s="3" t="s">
        <v>24</v>
      </c>
      <c r="E776" s="3" t="s">
        <v>58</v>
      </c>
      <c r="F776" s="3" t="s">
        <v>41</v>
      </c>
      <c r="G776" s="3" t="s">
        <v>13</v>
      </c>
      <c r="H776" s="3">
        <v>8085.0</v>
      </c>
      <c r="I776" s="3" t="s">
        <v>47</v>
      </c>
      <c r="J776" s="3">
        <v>0.3</v>
      </c>
      <c r="K776" s="3">
        <v>9000.0</v>
      </c>
      <c r="L776" s="3" t="s">
        <v>337</v>
      </c>
      <c r="M776" s="3" t="str">
        <f t="shared" si="1"/>
        <v>Below Target</v>
      </c>
      <c r="N776" s="10">
        <f t="shared" si="2"/>
        <v>0.5242290749</v>
      </c>
      <c r="O776" s="11">
        <f t="shared" si="3"/>
        <v>0.3</v>
      </c>
      <c r="P776" s="12">
        <f t="shared" si="4"/>
        <v>5659.5</v>
      </c>
    </row>
    <row r="777" ht="12.75" customHeight="1">
      <c r="A777" s="3" t="s">
        <v>1111</v>
      </c>
      <c r="B777" s="3" t="s">
        <v>619</v>
      </c>
      <c r="C777" s="3" t="s">
        <v>57</v>
      </c>
      <c r="D777" s="3" t="s">
        <v>19</v>
      </c>
      <c r="E777" s="3" t="s">
        <v>58</v>
      </c>
      <c r="F777" s="3" t="s">
        <v>21</v>
      </c>
      <c r="G777" s="3" t="s">
        <v>13</v>
      </c>
      <c r="H777" s="3">
        <v>13336.0</v>
      </c>
      <c r="K777" s="3">
        <v>13000.0</v>
      </c>
      <c r="L777" s="15" t="s">
        <v>352</v>
      </c>
      <c r="M777" s="3" t="str">
        <f t="shared" si="1"/>
        <v>Target Achieved</v>
      </c>
      <c r="N777" s="10">
        <f t="shared" si="2"/>
        <v>0.5265486726</v>
      </c>
      <c r="O777" s="11">
        <f t="shared" si="3"/>
        <v>0</v>
      </c>
      <c r="P777" s="12">
        <f t="shared" si="4"/>
        <v>13336</v>
      </c>
    </row>
    <row r="778" ht="12.75" customHeight="1">
      <c r="A778" s="3" t="s">
        <v>1112</v>
      </c>
      <c r="B778" s="3" t="s">
        <v>653</v>
      </c>
      <c r="C778" s="3" t="s">
        <v>18</v>
      </c>
      <c r="D778" s="3" t="s">
        <v>16</v>
      </c>
      <c r="E778" s="3" t="s">
        <v>20</v>
      </c>
      <c r="F778" s="3" t="s">
        <v>21</v>
      </c>
      <c r="G778" s="3" t="s">
        <v>11</v>
      </c>
      <c r="H778" s="3">
        <v>12708.0</v>
      </c>
      <c r="K778" s="3">
        <v>14000.0</v>
      </c>
      <c r="L778" s="3" t="s">
        <v>333</v>
      </c>
      <c r="M778" s="3" t="str">
        <f t="shared" si="1"/>
        <v>Below Target</v>
      </c>
      <c r="N778" s="10">
        <f t="shared" si="2"/>
        <v>0.5244444444</v>
      </c>
      <c r="O778" s="11">
        <f t="shared" si="3"/>
        <v>0</v>
      </c>
      <c r="P778" s="12">
        <f t="shared" si="4"/>
        <v>12708</v>
      </c>
    </row>
    <row r="779" ht="12.75" customHeight="1">
      <c r="A779" s="3" t="s">
        <v>1113</v>
      </c>
      <c r="B779" s="3" t="s">
        <v>343</v>
      </c>
      <c r="C779" s="3" t="s">
        <v>18</v>
      </c>
      <c r="D779" s="3" t="s">
        <v>16</v>
      </c>
      <c r="E779" s="3" t="s">
        <v>20</v>
      </c>
      <c r="F779" s="3" t="s">
        <v>52</v>
      </c>
      <c r="G779" s="3" t="s">
        <v>11</v>
      </c>
      <c r="H779" s="3">
        <v>12153.0</v>
      </c>
      <c r="I779" s="3" t="s">
        <v>42</v>
      </c>
      <c r="K779" s="3">
        <v>14000.0</v>
      </c>
      <c r="L779" s="3" t="s">
        <v>88</v>
      </c>
      <c r="M779" s="3" t="str">
        <f t="shared" si="1"/>
        <v>Below Target</v>
      </c>
      <c r="N779" s="10">
        <f t="shared" si="2"/>
        <v>0.5267857143</v>
      </c>
      <c r="O779" s="11" t="str">
        <f t="shared" si="3"/>
        <v/>
      </c>
      <c r="P779" s="12">
        <f t="shared" si="4"/>
        <v>10330.05</v>
      </c>
    </row>
    <row r="780" ht="12.75" customHeight="1">
      <c r="A780" s="3" t="s">
        <v>1114</v>
      </c>
      <c r="B780" s="3" t="s">
        <v>253</v>
      </c>
      <c r="C780" s="3" t="s">
        <v>18</v>
      </c>
      <c r="D780" s="3" t="s">
        <v>16</v>
      </c>
      <c r="E780" s="3" t="s">
        <v>58</v>
      </c>
      <c r="F780" s="3" t="s">
        <v>21</v>
      </c>
      <c r="G780" s="3" t="s">
        <v>11</v>
      </c>
      <c r="H780" s="3">
        <v>13706.0</v>
      </c>
      <c r="I780" s="3" t="s">
        <v>37</v>
      </c>
      <c r="J780" s="3">
        <v>0.1</v>
      </c>
      <c r="K780" s="3">
        <v>14000.0</v>
      </c>
      <c r="L780" s="3" t="s">
        <v>139</v>
      </c>
      <c r="M780" s="3" t="str">
        <f t="shared" si="1"/>
        <v>Below Target</v>
      </c>
      <c r="N780" s="10">
        <f t="shared" si="2"/>
        <v>0.5291479821</v>
      </c>
      <c r="O780" s="11">
        <f t="shared" si="3"/>
        <v>0.1</v>
      </c>
      <c r="P780" s="12">
        <f t="shared" si="4"/>
        <v>12335.4</v>
      </c>
    </row>
    <row r="781" ht="12.75" customHeight="1">
      <c r="A781" s="3" t="s">
        <v>1115</v>
      </c>
      <c r="B781" s="3" t="s">
        <v>388</v>
      </c>
      <c r="C781" s="3" t="s">
        <v>18</v>
      </c>
      <c r="D781" s="3" t="s">
        <v>16</v>
      </c>
      <c r="E781" s="3" t="s">
        <v>20</v>
      </c>
      <c r="F781" s="3" t="s">
        <v>52</v>
      </c>
      <c r="G781" s="3" t="s">
        <v>11</v>
      </c>
      <c r="H781" s="3">
        <v>12221.0</v>
      </c>
      <c r="I781" s="3" t="s">
        <v>47</v>
      </c>
      <c r="J781" s="3">
        <v>0.3</v>
      </c>
      <c r="K781" s="3">
        <v>14000.0</v>
      </c>
      <c r="L781" s="15" t="s">
        <v>344</v>
      </c>
      <c r="M781" s="3" t="str">
        <f t="shared" si="1"/>
        <v>Below Target</v>
      </c>
      <c r="N781" s="10">
        <f t="shared" si="2"/>
        <v>0.5315315315</v>
      </c>
      <c r="O781" s="11">
        <f t="shared" si="3"/>
        <v>0.3</v>
      </c>
      <c r="P781" s="12">
        <f t="shared" si="4"/>
        <v>8554.7</v>
      </c>
    </row>
    <row r="782" ht="12.75" customHeight="1">
      <c r="A782" s="3" t="s">
        <v>1116</v>
      </c>
      <c r="B782" s="3" t="s">
        <v>163</v>
      </c>
      <c r="C782" s="3" t="s">
        <v>57</v>
      </c>
      <c r="D782" s="3" t="s">
        <v>19</v>
      </c>
      <c r="E782" s="3" t="s">
        <v>58</v>
      </c>
      <c r="F782" s="3" t="s">
        <v>52</v>
      </c>
      <c r="G782" s="3" t="s">
        <v>12</v>
      </c>
      <c r="H782" s="3">
        <v>11904.0</v>
      </c>
      <c r="I782" s="3" t="s">
        <v>23</v>
      </c>
      <c r="J782" s="3">
        <v>0.2</v>
      </c>
      <c r="K782" s="3">
        <v>13000.0</v>
      </c>
      <c r="L782" s="15" t="s">
        <v>347</v>
      </c>
      <c r="M782" s="3" t="str">
        <f t="shared" si="1"/>
        <v>Below Target</v>
      </c>
      <c r="N782" s="10">
        <f t="shared" si="2"/>
        <v>0.5339366516</v>
      </c>
      <c r="O782" s="11">
        <f t="shared" si="3"/>
        <v>0.2</v>
      </c>
      <c r="P782" s="12">
        <f t="shared" si="4"/>
        <v>9523.2</v>
      </c>
    </row>
    <row r="783" ht="12.75" customHeight="1">
      <c r="A783" s="3" t="s">
        <v>1117</v>
      </c>
      <c r="B783" s="3" t="s">
        <v>400</v>
      </c>
      <c r="C783" s="3" t="s">
        <v>76</v>
      </c>
      <c r="D783" s="3" t="s">
        <v>24</v>
      </c>
      <c r="E783" s="3" t="s">
        <v>58</v>
      </c>
      <c r="F783" s="3" t="s">
        <v>52</v>
      </c>
      <c r="G783" s="3" t="s">
        <v>12</v>
      </c>
      <c r="H783" s="3">
        <v>9067.0</v>
      </c>
      <c r="I783" s="3" t="s">
        <v>37</v>
      </c>
      <c r="J783" s="3">
        <v>0.1</v>
      </c>
      <c r="K783" s="3">
        <v>9000.0</v>
      </c>
      <c r="L783" s="3" t="s">
        <v>221</v>
      </c>
      <c r="M783" s="3" t="str">
        <f t="shared" si="1"/>
        <v>Target Achieved</v>
      </c>
      <c r="N783" s="10">
        <f t="shared" si="2"/>
        <v>0.5363636364</v>
      </c>
      <c r="O783" s="11">
        <f t="shared" si="3"/>
        <v>0.1</v>
      </c>
      <c r="P783" s="12">
        <f t="shared" si="4"/>
        <v>8160.3</v>
      </c>
    </row>
    <row r="784" ht="12.75" customHeight="1">
      <c r="A784" s="3" t="s">
        <v>1118</v>
      </c>
      <c r="B784" s="3" t="s">
        <v>535</v>
      </c>
      <c r="C784" s="3" t="s">
        <v>76</v>
      </c>
      <c r="D784" s="3" t="s">
        <v>24</v>
      </c>
      <c r="E784" s="3" t="s">
        <v>46</v>
      </c>
      <c r="F784" s="3" t="s">
        <v>41</v>
      </c>
      <c r="G784" s="3" t="s">
        <v>11</v>
      </c>
      <c r="H784" s="3">
        <v>7338.0</v>
      </c>
      <c r="K784" s="3">
        <v>9000.0</v>
      </c>
      <c r="L784" s="15" t="s">
        <v>352</v>
      </c>
      <c r="M784" s="3" t="str">
        <f t="shared" si="1"/>
        <v>Below Target</v>
      </c>
      <c r="N784" s="10">
        <f t="shared" si="2"/>
        <v>0.5342465753</v>
      </c>
      <c r="O784" s="11">
        <f t="shared" si="3"/>
        <v>0</v>
      </c>
      <c r="P784" s="12">
        <f t="shared" si="4"/>
        <v>7338</v>
      </c>
    </row>
    <row r="785" ht="12.75" customHeight="1">
      <c r="A785" s="3" t="s">
        <v>1119</v>
      </c>
      <c r="B785" s="3" t="s">
        <v>564</v>
      </c>
      <c r="C785" s="3" t="s">
        <v>76</v>
      </c>
      <c r="D785" s="3" t="s">
        <v>24</v>
      </c>
      <c r="E785" s="3" t="s">
        <v>58</v>
      </c>
      <c r="F785" s="3" t="s">
        <v>41</v>
      </c>
      <c r="G785" s="3" t="s">
        <v>11</v>
      </c>
      <c r="H785" s="3">
        <v>9055.0</v>
      </c>
      <c r="K785" s="3">
        <v>9000.0</v>
      </c>
      <c r="L785" s="3" t="s">
        <v>324</v>
      </c>
      <c r="M785" s="3" t="str">
        <f t="shared" si="1"/>
        <v>Target Achieved</v>
      </c>
      <c r="N785" s="10">
        <f t="shared" si="2"/>
        <v>0.5366972477</v>
      </c>
      <c r="O785" s="11">
        <f t="shared" si="3"/>
        <v>0</v>
      </c>
      <c r="P785" s="12">
        <f t="shared" si="4"/>
        <v>9055</v>
      </c>
    </row>
    <row r="786" ht="12.75" customHeight="1">
      <c r="A786" s="3" t="s">
        <v>1120</v>
      </c>
      <c r="B786" s="3" t="s">
        <v>195</v>
      </c>
      <c r="C786" s="3" t="s">
        <v>57</v>
      </c>
      <c r="D786" s="3" t="s">
        <v>19</v>
      </c>
      <c r="E786" s="3" t="s">
        <v>58</v>
      </c>
      <c r="F786" s="3" t="s">
        <v>52</v>
      </c>
      <c r="G786" s="3" t="s">
        <v>13</v>
      </c>
      <c r="H786" s="3">
        <v>12998.0</v>
      </c>
      <c r="K786" s="3">
        <v>13000.0</v>
      </c>
      <c r="L786" s="15" t="s">
        <v>313</v>
      </c>
      <c r="M786" s="3" t="str">
        <f t="shared" si="1"/>
        <v>Below Target</v>
      </c>
      <c r="N786" s="10">
        <f t="shared" si="2"/>
        <v>0.534562212</v>
      </c>
      <c r="O786" s="11">
        <f t="shared" si="3"/>
        <v>0</v>
      </c>
      <c r="P786" s="12">
        <f t="shared" si="4"/>
        <v>12998</v>
      </c>
    </row>
    <row r="787" ht="12.75" customHeight="1">
      <c r="A787" s="3" t="s">
        <v>1121</v>
      </c>
      <c r="B787" s="3" t="s">
        <v>619</v>
      </c>
      <c r="C787" s="3" t="s">
        <v>57</v>
      </c>
      <c r="D787" s="3" t="s">
        <v>19</v>
      </c>
      <c r="E787" s="3" t="s">
        <v>46</v>
      </c>
      <c r="F787" s="3" t="s">
        <v>41</v>
      </c>
      <c r="G787" s="3" t="s">
        <v>11</v>
      </c>
      <c r="H787" s="3">
        <v>14181.0</v>
      </c>
      <c r="K787" s="3">
        <v>13000.0</v>
      </c>
      <c r="L787" s="3" t="s">
        <v>303</v>
      </c>
      <c r="M787" s="3" t="str">
        <f t="shared" si="1"/>
        <v>Target Achieved</v>
      </c>
      <c r="N787" s="10">
        <f t="shared" si="2"/>
        <v>0.537037037</v>
      </c>
      <c r="O787" s="11">
        <f t="shared" si="3"/>
        <v>0</v>
      </c>
      <c r="P787" s="12">
        <f t="shared" si="4"/>
        <v>14181</v>
      </c>
    </row>
    <row r="788" ht="12.75" customHeight="1">
      <c r="A788" s="3" t="s">
        <v>1122</v>
      </c>
      <c r="B788" s="3" t="s">
        <v>207</v>
      </c>
      <c r="C788" s="3" t="s">
        <v>18</v>
      </c>
      <c r="D788" s="3" t="s">
        <v>16</v>
      </c>
      <c r="E788" s="3" t="s">
        <v>46</v>
      </c>
      <c r="F788" s="3" t="s">
        <v>52</v>
      </c>
      <c r="G788" s="3" t="s">
        <v>11</v>
      </c>
      <c r="H788" s="3">
        <v>13734.0</v>
      </c>
      <c r="I788" s="3" t="s">
        <v>47</v>
      </c>
      <c r="J788" s="3">
        <v>0.3</v>
      </c>
      <c r="K788" s="3">
        <v>14000.0</v>
      </c>
      <c r="L788" s="3" t="s">
        <v>334</v>
      </c>
      <c r="M788" s="3" t="str">
        <f t="shared" si="1"/>
        <v>Below Target</v>
      </c>
      <c r="N788" s="10">
        <f t="shared" si="2"/>
        <v>0.5348837209</v>
      </c>
      <c r="O788" s="11">
        <f t="shared" si="3"/>
        <v>0.3</v>
      </c>
      <c r="P788" s="12">
        <f t="shared" si="4"/>
        <v>9613.8</v>
      </c>
    </row>
    <row r="789" ht="12.75" customHeight="1">
      <c r="A789" s="3" t="s">
        <v>1123</v>
      </c>
      <c r="B789" s="3" t="s">
        <v>491</v>
      </c>
      <c r="C789" s="3" t="s">
        <v>45</v>
      </c>
      <c r="D789" s="3" t="s">
        <v>22</v>
      </c>
      <c r="E789" s="3" t="s">
        <v>20</v>
      </c>
      <c r="F789" s="3" t="s">
        <v>52</v>
      </c>
      <c r="G789" s="3" t="s">
        <v>13</v>
      </c>
      <c r="H789" s="3">
        <v>18152.0</v>
      </c>
      <c r="I789" s="3" t="s">
        <v>47</v>
      </c>
      <c r="J789" s="3">
        <v>0.3</v>
      </c>
      <c r="K789" s="3">
        <v>17000.0</v>
      </c>
      <c r="L789" s="15" t="s">
        <v>103</v>
      </c>
      <c r="M789" s="3" t="str">
        <f t="shared" si="1"/>
        <v>Target Achieved</v>
      </c>
      <c r="N789" s="10">
        <f t="shared" si="2"/>
        <v>0.5373831776</v>
      </c>
      <c r="O789" s="11">
        <f t="shared" si="3"/>
        <v>0.3</v>
      </c>
      <c r="P789" s="12">
        <f t="shared" si="4"/>
        <v>12706.4</v>
      </c>
    </row>
    <row r="790" ht="12.75" customHeight="1">
      <c r="A790" s="3" t="s">
        <v>1124</v>
      </c>
      <c r="B790" s="3" t="s">
        <v>51</v>
      </c>
      <c r="C790" s="3" t="s">
        <v>76</v>
      </c>
      <c r="D790" s="3" t="s">
        <v>24</v>
      </c>
      <c r="E790" s="3" t="s">
        <v>20</v>
      </c>
      <c r="F790" s="3" t="s">
        <v>41</v>
      </c>
      <c r="G790" s="3" t="s">
        <v>11</v>
      </c>
      <c r="H790" s="3">
        <v>7183.0</v>
      </c>
      <c r="I790" s="3" t="s">
        <v>23</v>
      </c>
      <c r="J790" s="3">
        <v>0.2</v>
      </c>
      <c r="K790" s="3">
        <v>9000.0</v>
      </c>
      <c r="L790" s="3" t="s">
        <v>164</v>
      </c>
      <c r="M790" s="3" t="str">
        <f t="shared" si="1"/>
        <v>Below Target</v>
      </c>
      <c r="N790" s="10">
        <f t="shared" si="2"/>
        <v>0.5352112676</v>
      </c>
      <c r="O790" s="11">
        <f t="shared" si="3"/>
        <v>0.2</v>
      </c>
      <c r="P790" s="12">
        <f t="shared" si="4"/>
        <v>5746.4</v>
      </c>
    </row>
    <row r="791" ht="12.75" customHeight="1">
      <c r="A791" s="3" t="s">
        <v>1125</v>
      </c>
      <c r="B791" s="3" t="s">
        <v>413</v>
      </c>
      <c r="C791" s="3" t="s">
        <v>57</v>
      </c>
      <c r="D791" s="3" t="s">
        <v>19</v>
      </c>
      <c r="E791" s="3" t="s">
        <v>20</v>
      </c>
      <c r="F791" s="3" t="s">
        <v>41</v>
      </c>
      <c r="G791" s="3" t="s">
        <v>13</v>
      </c>
      <c r="H791" s="3">
        <v>14029.0</v>
      </c>
      <c r="I791" s="3" t="s">
        <v>37</v>
      </c>
      <c r="J791" s="3">
        <v>0.1</v>
      </c>
      <c r="K791" s="3">
        <v>13000.0</v>
      </c>
      <c r="L791" s="3" t="s">
        <v>245</v>
      </c>
      <c r="M791" s="3" t="str">
        <f t="shared" si="1"/>
        <v>Target Achieved</v>
      </c>
      <c r="N791" s="10">
        <f t="shared" si="2"/>
        <v>0.5377358491</v>
      </c>
      <c r="O791" s="11">
        <f t="shared" si="3"/>
        <v>0.1</v>
      </c>
      <c r="P791" s="12">
        <f t="shared" si="4"/>
        <v>12626.1</v>
      </c>
    </row>
    <row r="792" ht="12.75" customHeight="1">
      <c r="A792" s="3" t="s">
        <v>1126</v>
      </c>
      <c r="B792" s="3" t="s">
        <v>473</v>
      </c>
      <c r="C792" s="3" t="s">
        <v>45</v>
      </c>
      <c r="D792" s="3" t="s">
        <v>22</v>
      </c>
      <c r="E792" s="3" t="s">
        <v>46</v>
      </c>
      <c r="F792" s="3" t="s">
        <v>21</v>
      </c>
      <c r="G792" s="3" t="s">
        <v>12</v>
      </c>
      <c r="H792" s="3">
        <v>18294.0</v>
      </c>
      <c r="I792" s="3" t="s">
        <v>37</v>
      </c>
      <c r="J792" s="3">
        <v>0.1</v>
      </c>
      <c r="K792" s="3">
        <v>17000.0</v>
      </c>
      <c r="L792" s="3" t="s">
        <v>327</v>
      </c>
      <c r="M792" s="3" t="str">
        <f t="shared" si="1"/>
        <v>Target Achieved</v>
      </c>
      <c r="N792" s="10">
        <f t="shared" si="2"/>
        <v>0.5355450237</v>
      </c>
      <c r="O792" s="11">
        <f t="shared" si="3"/>
        <v>0.1</v>
      </c>
      <c r="P792" s="12">
        <f t="shared" si="4"/>
        <v>16464.6</v>
      </c>
    </row>
    <row r="793" ht="12.75" customHeight="1">
      <c r="A793" s="3" t="s">
        <v>1127</v>
      </c>
      <c r="B793" s="3" t="s">
        <v>290</v>
      </c>
      <c r="C793" s="3" t="s">
        <v>18</v>
      </c>
      <c r="D793" s="3" t="s">
        <v>16</v>
      </c>
      <c r="E793" s="3" t="s">
        <v>58</v>
      </c>
      <c r="F793" s="3" t="s">
        <v>41</v>
      </c>
      <c r="G793" s="3" t="s">
        <v>12</v>
      </c>
      <c r="H793" s="3">
        <v>14203.0</v>
      </c>
      <c r="I793" s="3" t="s">
        <v>23</v>
      </c>
      <c r="J793" s="3">
        <v>0.2</v>
      </c>
      <c r="K793" s="3">
        <v>14000.0</v>
      </c>
      <c r="L793" s="3" t="s">
        <v>65</v>
      </c>
      <c r="M793" s="3" t="str">
        <f t="shared" si="1"/>
        <v>Target Achieved</v>
      </c>
      <c r="N793" s="10">
        <f t="shared" si="2"/>
        <v>0.5333333333</v>
      </c>
      <c r="O793" s="11">
        <f t="shared" si="3"/>
        <v>0.2</v>
      </c>
      <c r="P793" s="12">
        <f t="shared" si="4"/>
        <v>11362.4</v>
      </c>
    </row>
    <row r="794" ht="12.75" customHeight="1">
      <c r="A794" s="3" t="s">
        <v>1128</v>
      </c>
      <c r="B794" s="3" t="s">
        <v>215</v>
      </c>
      <c r="C794" s="3" t="s">
        <v>45</v>
      </c>
      <c r="D794" s="3" t="s">
        <v>22</v>
      </c>
      <c r="E794" s="3" t="s">
        <v>20</v>
      </c>
      <c r="F794" s="3" t="s">
        <v>21</v>
      </c>
      <c r="G794" s="3" t="s">
        <v>12</v>
      </c>
      <c r="H794" s="3">
        <v>17989.0</v>
      </c>
      <c r="I794" s="3" t="s">
        <v>23</v>
      </c>
      <c r="J794" s="3">
        <v>0.2</v>
      </c>
      <c r="K794" s="3">
        <v>17000.0</v>
      </c>
      <c r="L794" s="3" t="s">
        <v>96</v>
      </c>
      <c r="M794" s="3" t="str">
        <f t="shared" si="1"/>
        <v>Target Achieved</v>
      </c>
      <c r="N794" s="10">
        <f t="shared" si="2"/>
        <v>0.5311004785</v>
      </c>
      <c r="O794" s="11">
        <f t="shared" si="3"/>
        <v>0.2</v>
      </c>
      <c r="P794" s="12">
        <f t="shared" si="4"/>
        <v>14391.2</v>
      </c>
    </row>
    <row r="795" ht="12.75" customHeight="1">
      <c r="A795" s="3" t="s">
        <v>1129</v>
      </c>
      <c r="B795" s="3" t="s">
        <v>865</v>
      </c>
      <c r="C795" s="3" t="s">
        <v>18</v>
      </c>
      <c r="D795" s="3" t="s">
        <v>16</v>
      </c>
      <c r="E795" s="3" t="s">
        <v>58</v>
      </c>
      <c r="F795" s="3" t="s">
        <v>52</v>
      </c>
      <c r="G795" s="3" t="s">
        <v>12</v>
      </c>
      <c r="H795" s="3">
        <v>14157.0</v>
      </c>
      <c r="I795" s="3" t="s">
        <v>37</v>
      </c>
      <c r="J795" s="3">
        <v>0.1</v>
      </c>
      <c r="K795" s="3">
        <v>14000.0</v>
      </c>
      <c r="L795" s="3" t="s">
        <v>320</v>
      </c>
      <c r="M795" s="3" t="str">
        <f t="shared" si="1"/>
        <v>Target Achieved</v>
      </c>
      <c r="N795" s="10">
        <f t="shared" si="2"/>
        <v>0.5288461538</v>
      </c>
      <c r="O795" s="11">
        <f t="shared" si="3"/>
        <v>0.1</v>
      </c>
      <c r="P795" s="12">
        <f t="shared" si="4"/>
        <v>12741.3</v>
      </c>
    </row>
    <row r="796" ht="12.75" customHeight="1">
      <c r="A796" s="3" t="s">
        <v>1130</v>
      </c>
      <c r="B796" s="3" t="s">
        <v>657</v>
      </c>
      <c r="C796" s="3" t="s">
        <v>45</v>
      </c>
      <c r="D796" s="3" t="s">
        <v>22</v>
      </c>
      <c r="E796" s="3" t="s">
        <v>46</v>
      </c>
      <c r="F796" s="3" t="s">
        <v>52</v>
      </c>
      <c r="G796" s="3" t="s">
        <v>12</v>
      </c>
      <c r="H796" s="3">
        <v>16111.0</v>
      </c>
      <c r="I796" s="3" t="s">
        <v>37</v>
      </c>
      <c r="J796" s="3">
        <v>0.1</v>
      </c>
      <c r="K796" s="3">
        <v>17000.0</v>
      </c>
      <c r="L796" s="3" t="s">
        <v>345</v>
      </c>
      <c r="M796" s="3" t="str">
        <f t="shared" si="1"/>
        <v>Below Target</v>
      </c>
      <c r="N796" s="10">
        <f t="shared" si="2"/>
        <v>0.5265700483</v>
      </c>
      <c r="O796" s="11">
        <f t="shared" si="3"/>
        <v>0.1</v>
      </c>
      <c r="P796" s="12">
        <f t="shared" si="4"/>
        <v>14499.9</v>
      </c>
    </row>
    <row r="797" ht="12.75" customHeight="1">
      <c r="A797" s="3" t="s">
        <v>1131</v>
      </c>
      <c r="B797" s="3" t="s">
        <v>1132</v>
      </c>
      <c r="C797" s="3" t="s">
        <v>18</v>
      </c>
      <c r="D797" s="3" t="s">
        <v>16</v>
      </c>
      <c r="E797" s="3" t="s">
        <v>58</v>
      </c>
      <c r="F797" s="3" t="s">
        <v>52</v>
      </c>
      <c r="G797" s="3" t="s">
        <v>11</v>
      </c>
      <c r="H797" s="3">
        <v>14715.0</v>
      </c>
      <c r="I797" s="3" t="s">
        <v>47</v>
      </c>
      <c r="J797" s="3">
        <v>0.3</v>
      </c>
      <c r="K797" s="3">
        <v>14000.0</v>
      </c>
      <c r="L797" s="3" t="s">
        <v>139</v>
      </c>
      <c r="M797" s="3" t="str">
        <f t="shared" si="1"/>
        <v>Target Achieved</v>
      </c>
      <c r="N797" s="10">
        <f t="shared" si="2"/>
        <v>0.5291262136</v>
      </c>
      <c r="O797" s="11">
        <f t="shared" si="3"/>
        <v>0.3</v>
      </c>
      <c r="P797" s="12">
        <f t="shared" si="4"/>
        <v>10300.5</v>
      </c>
    </row>
    <row r="798" ht="12.75" customHeight="1">
      <c r="A798" s="3" t="s">
        <v>1133</v>
      </c>
      <c r="B798" s="3" t="s">
        <v>56</v>
      </c>
      <c r="C798" s="3" t="s">
        <v>45</v>
      </c>
      <c r="D798" s="3" t="s">
        <v>22</v>
      </c>
      <c r="E798" s="3" t="s">
        <v>20</v>
      </c>
      <c r="F798" s="3" t="s">
        <v>21</v>
      </c>
      <c r="G798" s="3" t="s">
        <v>13</v>
      </c>
      <c r="H798" s="3">
        <v>16559.0</v>
      </c>
      <c r="I798" s="3" t="s">
        <v>42</v>
      </c>
      <c r="K798" s="3">
        <v>17000.0</v>
      </c>
      <c r="L798" s="3" t="s">
        <v>83</v>
      </c>
      <c r="M798" s="3" t="str">
        <f t="shared" si="1"/>
        <v>Below Target</v>
      </c>
      <c r="N798" s="10">
        <f t="shared" si="2"/>
        <v>0.5268292683</v>
      </c>
      <c r="O798" s="11" t="str">
        <f t="shared" si="3"/>
        <v/>
      </c>
      <c r="P798" s="12">
        <f t="shared" si="4"/>
        <v>14075.15</v>
      </c>
    </row>
    <row r="799" ht="12.75" customHeight="1">
      <c r="A799" s="3" t="s">
        <v>1134</v>
      </c>
      <c r="B799" s="3" t="s">
        <v>532</v>
      </c>
      <c r="C799" s="3" t="s">
        <v>76</v>
      </c>
      <c r="D799" s="3" t="s">
        <v>24</v>
      </c>
      <c r="E799" s="3" t="s">
        <v>20</v>
      </c>
      <c r="F799" s="3" t="s">
        <v>52</v>
      </c>
      <c r="G799" s="3" t="s">
        <v>13</v>
      </c>
      <c r="H799" s="3">
        <v>7763.0</v>
      </c>
      <c r="I799" s="3" t="s">
        <v>23</v>
      </c>
      <c r="J799" s="3">
        <v>0.2</v>
      </c>
      <c r="K799" s="3">
        <v>9000.0</v>
      </c>
      <c r="L799" s="15" t="s">
        <v>155</v>
      </c>
      <c r="M799" s="3" t="str">
        <f t="shared" si="1"/>
        <v>Below Target</v>
      </c>
      <c r="N799" s="10">
        <f t="shared" si="2"/>
        <v>0.5294117647</v>
      </c>
      <c r="O799" s="11">
        <f t="shared" si="3"/>
        <v>0.2</v>
      </c>
      <c r="P799" s="12">
        <f t="shared" si="4"/>
        <v>6210.4</v>
      </c>
    </row>
    <row r="800" ht="12.75" customHeight="1">
      <c r="A800" s="3" t="s">
        <v>1135</v>
      </c>
      <c r="B800" s="3" t="s">
        <v>427</v>
      </c>
      <c r="C800" s="3" t="s">
        <v>18</v>
      </c>
      <c r="D800" s="3" t="s">
        <v>16</v>
      </c>
      <c r="E800" s="3" t="s">
        <v>46</v>
      </c>
      <c r="F800" s="3" t="s">
        <v>41</v>
      </c>
      <c r="G800" s="3" t="s">
        <v>12</v>
      </c>
      <c r="H800" s="3">
        <v>13248.0</v>
      </c>
      <c r="I800" s="3" t="s">
        <v>47</v>
      </c>
      <c r="J800" s="3">
        <v>0.3</v>
      </c>
      <c r="K800" s="3">
        <v>14000.0</v>
      </c>
      <c r="L800" s="15" t="s">
        <v>177</v>
      </c>
      <c r="M800" s="3" t="str">
        <f t="shared" si="1"/>
        <v>Below Target</v>
      </c>
      <c r="N800" s="10">
        <f t="shared" si="2"/>
        <v>0.5320197044</v>
      </c>
      <c r="O800" s="11">
        <f t="shared" si="3"/>
        <v>0.3</v>
      </c>
      <c r="P800" s="12">
        <f t="shared" si="4"/>
        <v>9273.6</v>
      </c>
    </row>
    <row r="801" ht="12.75" customHeight="1">
      <c r="A801" s="3" t="s">
        <v>1136</v>
      </c>
      <c r="B801" s="3" t="s">
        <v>134</v>
      </c>
      <c r="C801" s="3" t="s">
        <v>57</v>
      </c>
      <c r="D801" s="3" t="s">
        <v>19</v>
      </c>
      <c r="E801" s="3" t="s">
        <v>46</v>
      </c>
      <c r="F801" s="3" t="s">
        <v>21</v>
      </c>
      <c r="G801" s="3" t="s">
        <v>12</v>
      </c>
      <c r="H801" s="3">
        <v>12441.0</v>
      </c>
      <c r="I801" s="3" t="s">
        <v>47</v>
      </c>
      <c r="J801" s="3">
        <v>0.3</v>
      </c>
      <c r="K801" s="3">
        <v>13000.0</v>
      </c>
      <c r="L801" s="15" t="s">
        <v>312</v>
      </c>
      <c r="M801" s="3" t="str">
        <f t="shared" si="1"/>
        <v>Below Target</v>
      </c>
      <c r="N801" s="10">
        <f t="shared" si="2"/>
        <v>0.5346534653</v>
      </c>
      <c r="O801" s="11">
        <f t="shared" si="3"/>
        <v>0.3</v>
      </c>
      <c r="P801" s="12">
        <f t="shared" si="4"/>
        <v>8708.7</v>
      </c>
    </row>
    <row r="802" ht="12.75" customHeight="1">
      <c r="A802" s="3" t="s">
        <v>1137</v>
      </c>
      <c r="B802" s="3" t="s">
        <v>382</v>
      </c>
      <c r="C802" s="3" t="s">
        <v>45</v>
      </c>
      <c r="D802" s="3" t="s">
        <v>22</v>
      </c>
      <c r="E802" s="3" t="s">
        <v>46</v>
      </c>
      <c r="F802" s="3" t="s">
        <v>52</v>
      </c>
      <c r="G802" s="3" t="s">
        <v>11</v>
      </c>
      <c r="H802" s="3">
        <v>18599.0</v>
      </c>
      <c r="K802" s="3">
        <v>17000.0</v>
      </c>
      <c r="L802" s="3" t="s">
        <v>337</v>
      </c>
      <c r="M802" s="3" t="str">
        <f t="shared" si="1"/>
        <v>Target Achieved</v>
      </c>
      <c r="N802" s="10">
        <f t="shared" si="2"/>
        <v>0.5373134328</v>
      </c>
      <c r="O802" s="11">
        <f t="shared" si="3"/>
        <v>0</v>
      </c>
      <c r="P802" s="12">
        <f t="shared" si="4"/>
        <v>18599</v>
      </c>
    </row>
    <row r="803" ht="12.75" customHeight="1">
      <c r="A803" s="3" t="s">
        <v>1138</v>
      </c>
      <c r="B803" s="3" t="s">
        <v>776</v>
      </c>
      <c r="C803" s="3" t="s">
        <v>45</v>
      </c>
      <c r="D803" s="3" t="s">
        <v>22</v>
      </c>
      <c r="E803" s="3" t="s">
        <v>46</v>
      </c>
      <c r="F803" s="3" t="s">
        <v>41</v>
      </c>
      <c r="G803" s="3" t="s">
        <v>11</v>
      </c>
      <c r="H803" s="3">
        <v>18674.0</v>
      </c>
      <c r="K803" s="3">
        <v>17000.0</v>
      </c>
      <c r="L803" s="15" t="s">
        <v>317</v>
      </c>
      <c r="M803" s="3" t="str">
        <f t="shared" si="1"/>
        <v>Target Achieved</v>
      </c>
      <c r="N803" s="10">
        <f t="shared" si="2"/>
        <v>0.535</v>
      </c>
      <c r="O803" s="11">
        <f t="shared" si="3"/>
        <v>0</v>
      </c>
      <c r="P803" s="12">
        <f t="shared" si="4"/>
        <v>18674</v>
      </c>
    </row>
    <row r="804" ht="12.75" customHeight="1">
      <c r="A804" s="3" t="s">
        <v>1139</v>
      </c>
      <c r="B804" s="3" t="s">
        <v>421</v>
      </c>
      <c r="C804" s="3" t="s">
        <v>76</v>
      </c>
      <c r="D804" s="3" t="s">
        <v>24</v>
      </c>
      <c r="E804" s="3" t="s">
        <v>20</v>
      </c>
      <c r="F804" s="3" t="s">
        <v>52</v>
      </c>
      <c r="G804" s="3" t="s">
        <v>12</v>
      </c>
      <c r="H804" s="3">
        <v>10574.0</v>
      </c>
      <c r="I804" s="3" t="s">
        <v>23</v>
      </c>
      <c r="J804" s="3">
        <v>0.2</v>
      </c>
      <c r="K804" s="3">
        <v>9000.0</v>
      </c>
      <c r="L804" s="3" t="s">
        <v>68</v>
      </c>
      <c r="M804" s="3" t="str">
        <f t="shared" si="1"/>
        <v>Target Achieved</v>
      </c>
      <c r="N804" s="10">
        <f t="shared" si="2"/>
        <v>0.5326633166</v>
      </c>
      <c r="O804" s="11">
        <f t="shared" si="3"/>
        <v>0.2</v>
      </c>
      <c r="P804" s="12">
        <f t="shared" si="4"/>
        <v>8459.2</v>
      </c>
    </row>
    <row r="805" ht="12.75" customHeight="1">
      <c r="A805" s="3" t="s">
        <v>1140</v>
      </c>
      <c r="B805" s="3" t="s">
        <v>70</v>
      </c>
      <c r="C805" s="3" t="s">
        <v>57</v>
      </c>
      <c r="D805" s="3" t="s">
        <v>19</v>
      </c>
      <c r="E805" s="3" t="s">
        <v>58</v>
      </c>
      <c r="F805" s="3" t="s">
        <v>21</v>
      </c>
      <c r="G805" s="3" t="s">
        <v>12</v>
      </c>
      <c r="H805" s="3">
        <v>12348.0</v>
      </c>
      <c r="K805" s="3">
        <v>13000.0</v>
      </c>
      <c r="L805" s="15" t="s">
        <v>348</v>
      </c>
      <c r="M805" s="3" t="str">
        <f t="shared" si="1"/>
        <v>Below Target</v>
      </c>
      <c r="N805" s="10">
        <f t="shared" si="2"/>
        <v>0.5303030303</v>
      </c>
      <c r="O805" s="11">
        <f t="shared" si="3"/>
        <v>0</v>
      </c>
      <c r="P805" s="12">
        <f t="shared" si="4"/>
        <v>12348</v>
      </c>
    </row>
    <row r="806" ht="12.75" customHeight="1">
      <c r="A806" s="3" t="s">
        <v>1141</v>
      </c>
      <c r="B806" s="3" t="s">
        <v>49</v>
      </c>
      <c r="C806" s="3" t="s">
        <v>57</v>
      </c>
      <c r="D806" s="3" t="s">
        <v>19</v>
      </c>
      <c r="E806" s="3" t="s">
        <v>20</v>
      </c>
      <c r="F806" s="3" t="s">
        <v>52</v>
      </c>
      <c r="G806" s="3" t="s">
        <v>12</v>
      </c>
      <c r="H806" s="3">
        <v>14277.0</v>
      </c>
      <c r="I806" s="3" t="s">
        <v>23</v>
      </c>
      <c r="J806" s="3">
        <v>0.2</v>
      </c>
      <c r="K806" s="3">
        <v>13000.0</v>
      </c>
      <c r="L806" s="3" t="s">
        <v>139</v>
      </c>
      <c r="M806" s="3" t="str">
        <f t="shared" si="1"/>
        <v>Target Achieved</v>
      </c>
      <c r="N806" s="10">
        <f t="shared" si="2"/>
        <v>0.5329949239</v>
      </c>
      <c r="O806" s="11">
        <f t="shared" si="3"/>
        <v>0.2</v>
      </c>
      <c r="P806" s="12">
        <f t="shared" si="4"/>
        <v>11421.6</v>
      </c>
    </row>
    <row r="807" ht="12.75" customHeight="1">
      <c r="A807" s="3" t="s">
        <v>1142</v>
      </c>
      <c r="B807" s="3" t="s">
        <v>331</v>
      </c>
      <c r="C807" s="3" t="s">
        <v>57</v>
      </c>
      <c r="D807" s="3" t="s">
        <v>19</v>
      </c>
      <c r="E807" s="3" t="s">
        <v>58</v>
      </c>
      <c r="F807" s="3" t="s">
        <v>41</v>
      </c>
      <c r="G807" s="3" t="s">
        <v>12</v>
      </c>
      <c r="H807" s="3">
        <v>14821.0</v>
      </c>
      <c r="I807" s="3" t="s">
        <v>42</v>
      </c>
      <c r="K807" s="3">
        <v>13000.0</v>
      </c>
      <c r="L807" s="3" t="s">
        <v>340</v>
      </c>
      <c r="M807" s="3" t="str">
        <f t="shared" si="1"/>
        <v>Target Achieved</v>
      </c>
      <c r="N807" s="10">
        <f t="shared" si="2"/>
        <v>0.5306122449</v>
      </c>
      <c r="O807" s="11" t="str">
        <f t="shared" si="3"/>
        <v/>
      </c>
      <c r="P807" s="12">
        <f t="shared" si="4"/>
        <v>12597.85</v>
      </c>
    </row>
    <row r="808" ht="12.75" customHeight="1">
      <c r="A808" s="3" t="s">
        <v>1143</v>
      </c>
      <c r="B808" s="3" t="s">
        <v>98</v>
      </c>
      <c r="C808" s="3" t="s">
        <v>18</v>
      </c>
      <c r="D808" s="3" t="s">
        <v>16</v>
      </c>
      <c r="E808" s="3" t="s">
        <v>20</v>
      </c>
      <c r="F808" s="3" t="s">
        <v>52</v>
      </c>
      <c r="G808" s="3" t="s">
        <v>12</v>
      </c>
      <c r="H808" s="3">
        <v>12484.0</v>
      </c>
      <c r="I808" s="3" t="s">
        <v>23</v>
      </c>
      <c r="J808" s="3">
        <v>0.2</v>
      </c>
      <c r="K808" s="3">
        <v>14000.0</v>
      </c>
      <c r="L808" s="3" t="s">
        <v>303</v>
      </c>
      <c r="M808" s="3" t="str">
        <f t="shared" si="1"/>
        <v>Below Target</v>
      </c>
      <c r="N808" s="10">
        <f t="shared" si="2"/>
        <v>0.5282051282</v>
      </c>
      <c r="O808" s="11">
        <f t="shared" si="3"/>
        <v>0.2</v>
      </c>
      <c r="P808" s="12">
        <f t="shared" si="4"/>
        <v>9987.2</v>
      </c>
    </row>
    <row r="809" ht="12.75" customHeight="1">
      <c r="A809" s="3" t="s">
        <v>1144</v>
      </c>
      <c r="B809" s="3" t="s">
        <v>512</v>
      </c>
      <c r="C809" s="3" t="s">
        <v>18</v>
      </c>
      <c r="D809" s="3" t="s">
        <v>16</v>
      </c>
      <c r="E809" s="3" t="s">
        <v>58</v>
      </c>
      <c r="F809" s="3" t="s">
        <v>21</v>
      </c>
      <c r="G809" s="3" t="s">
        <v>11</v>
      </c>
      <c r="H809" s="3">
        <v>13242.0</v>
      </c>
      <c r="K809" s="3">
        <v>14000.0</v>
      </c>
      <c r="L809" s="3" t="s">
        <v>38</v>
      </c>
      <c r="M809" s="3" t="str">
        <f t="shared" si="1"/>
        <v>Below Target</v>
      </c>
      <c r="N809" s="10">
        <f t="shared" si="2"/>
        <v>0.5309278351</v>
      </c>
      <c r="O809" s="11">
        <f t="shared" si="3"/>
        <v>0</v>
      </c>
      <c r="P809" s="12">
        <f t="shared" si="4"/>
        <v>13242</v>
      </c>
    </row>
    <row r="810" ht="12.75" customHeight="1">
      <c r="A810" s="3" t="s">
        <v>1145</v>
      </c>
      <c r="B810" s="3" t="s">
        <v>554</v>
      </c>
      <c r="C810" s="3" t="s">
        <v>45</v>
      </c>
      <c r="D810" s="3" t="s">
        <v>22</v>
      </c>
      <c r="E810" s="3" t="s">
        <v>46</v>
      </c>
      <c r="F810" s="3" t="s">
        <v>41</v>
      </c>
      <c r="G810" s="3" t="s">
        <v>13</v>
      </c>
      <c r="H810" s="3">
        <v>15538.0</v>
      </c>
      <c r="I810" s="3" t="s">
        <v>23</v>
      </c>
      <c r="J810" s="3">
        <v>0.2</v>
      </c>
      <c r="K810" s="3">
        <v>17000.0</v>
      </c>
      <c r="L810" s="15" t="s">
        <v>211</v>
      </c>
      <c r="M810" s="3" t="str">
        <f t="shared" si="1"/>
        <v>Below Target</v>
      </c>
      <c r="N810" s="10">
        <f t="shared" si="2"/>
        <v>0.5336787565</v>
      </c>
      <c r="O810" s="11">
        <f t="shared" si="3"/>
        <v>0.2</v>
      </c>
      <c r="P810" s="12">
        <f t="shared" si="4"/>
        <v>12430.4</v>
      </c>
    </row>
    <row r="811" ht="12.75" customHeight="1">
      <c r="A811" s="3" t="s">
        <v>1146</v>
      </c>
      <c r="B811" s="3" t="s">
        <v>622</v>
      </c>
      <c r="C811" s="3" t="s">
        <v>45</v>
      </c>
      <c r="D811" s="3" t="s">
        <v>22</v>
      </c>
      <c r="E811" s="3" t="s">
        <v>20</v>
      </c>
      <c r="F811" s="3" t="s">
        <v>52</v>
      </c>
      <c r="G811" s="3" t="s">
        <v>12</v>
      </c>
      <c r="H811" s="3">
        <v>15945.0</v>
      </c>
      <c r="I811" s="3" t="s">
        <v>42</v>
      </c>
      <c r="K811" s="3">
        <v>17000.0</v>
      </c>
      <c r="L811" s="3" t="s">
        <v>221</v>
      </c>
      <c r="M811" s="3" t="str">
        <f t="shared" si="1"/>
        <v>Below Target</v>
      </c>
      <c r="N811" s="10">
        <f t="shared" si="2"/>
        <v>0.5364583333</v>
      </c>
      <c r="O811" s="11" t="str">
        <f t="shared" si="3"/>
        <v/>
      </c>
      <c r="P811" s="12">
        <f t="shared" si="4"/>
        <v>13553.25</v>
      </c>
    </row>
    <row r="812" ht="12.75" customHeight="1">
      <c r="A812" s="3" t="s">
        <v>1147</v>
      </c>
      <c r="B812" s="3" t="s">
        <v>917</v>
      </c>
      <c r="C812" s="3" t="s">
        <v>18</v>
      </c>
      <c r="D812" s="3" t="s">
        <v>16</v>
      </c>
      <c r="E812" s="3" t="s">
        <v>58</v>
      </c>
      <c r="F812" s="3" t="s">
        <v>41</v>
      </c>
      <c r="G812" s="3" t="s">
        <v>12</v>
      </c>
      <c r="H812" s="3">
        <v>15194.0</v>
      </c>
      <c r="K812" s="3">
        <v>14000.0</v>
      </c>
      <c r="L812" s="15" t="s">
        <v>353</v>
      </c>
      <c r="M812" s="3" t="str">
        <f t="shared" si="1"/>
        <v>Target Achieved</v>
      </c>
      <c r="N812" s="10">
        <f t="shared" si="2"/>
        <v>0.5392670157</v>
      </c>
      <c r="O812" s="11">
        <f t="shared" si="3"/>
        <v>0</v>
      </c>
      <c r="P812" s="12">
        <f t="shared" si="4"/>
        <v>15194</v>
      </c>
    </row>
    <row r="813" ht="12.75" customHeight="1">
      <c r="A813" s="3" t="s">
        <v>1148</v>
      </c>
      <c r="B813" s="3" t="s">
        <v>138</v>
      </c>
      <c r="C813" s="3" t="s">
        <v>76</v>
      </c>
      <c r="D813" s="3" t="s">
        <v>24</v>
      </c>
      <c r="E813" s="3" t="s">
        <v>20</v>
      </c>
      <c r="F813" s="3" t="s">
        <v>52</v>
      </c>
      <c r="G813" s="3" t="s">
        <v>11</v>
      </c>
      <c r="H813" s="3">
        <v>7753.0</v>
      </c>
      <c r="K813" s="3">
        <v>9000.0</v>
      </c>
      <c r="L813" s="15" t="s">
        <v>177</v>
      </c>
      <c r="M813" s="3" t="str">
        <f t="shared" si="1"/>
        <v>Below Target</v>
      </c>
      <c r="N813" s="10">
        <f t="shared" si="2"/>
        <v>0.5368421053</v>
      </c>
      <c r="O813" s="11">
        <f t="shared" si="3"/>
        <v>0</v>
      </c>
      <c r="P813" s="12">
        <f t="shared" si="4"/>
        <v>7753</v>
      </c>
    </row>
    <row r="814" ht="12.75" customHeight="1">
      <c r="A814" s="3" t="s">
        <v>1149</v>
      </c>
      <c r="B814" s="3" t="s">
        <v>608</v>
      </c>
      <c r="C814" s="3" t="s">
        <v>57</v>
      </c>
      <c r="D814" s="3" t="s">
        <v>19</v>
      </c>
      <c r="E814" s="3" t="s">
        <v>46</v>
      </c>
      <c r="F814" s="3" t="s">
        <v>41</v>
      </c>
      <c r="G814" s="3" t="s">
        <v>13</v>
      </c>
      <c r="H814" s="3">
        <v>12673.0</v>
      </c>
      <c r="I814" s="3" t="s">
        <v>37</v>
      </c>
      <c r="J814" s="3">
        <v>0.1</v>
      </c>
      <c r="K814" s="3">
        <v>13000.0</v>
      </c>
      <c r="L814" s="3" t="s">
        <v>80</v>
      </c>
      <c r="M814" s="3" t="str">
        <f t="shared" si="1"/>
        <v>Below Target</v>
      </c>
      <c r="N814" s="10">
        <f t="shared" si="2"/>
        <v>0.5396825397</v>
      </c>
      <c r="O814" s="11">
        <f t="shared" si="3"/>
        <v>0.1</v>
      </c>
      <c r="P814" s="12">
        <f t="shared" si="4"/>
        <v>11405.7</v>
      </c>
    </row>
    <row r="815" ht="12.75" customHeight="1">
      <c r="A815" s="3" t="s">
        <v>1150</v>
      </c>
      <c r="B815" s="3" t="s">
        <v>89</v>
      </c>
      <c r="C815" s="3" t="s">
        <v>57</v>
      </c>
      <c r="D815" s="3" t="s">
        <v>19</v>
      </c>
      <c r="E815" s="3" t="s">
        <v>20</v>
      </c>
      <c r="F815" s="3" t="s">
        <v>52</v>
      </c>
      <c r="G815" s="3" t="s">
        <v>13</v>
      </c>
      <c r="H815" s="3">
        <v>14103.0</v>
      </c>
      <c r="I815" s="3" t="s">
        <v>23</v>
      </c>
      <c r="J815" s="3">
        <v>0.2</v>
      </c>
      <c r="K815" s="3">
        <v>13000.0</v>
      </c>
      <c r="L815" s="15" t="s">
        <v>109</v>
      </c>
      <c r="M815" s="3" t="str">
        <f t="shared" si="1"/>
        <v>Target Achieved</v>
      </c>
      <c r="N815" s="10">
        <f t="shared" si="2"/>
        <v>0.5425531915</v>
      </c>
      <c r="O815" s="11">
        <f t="shared" si="3"/>
        <v>0.2</v>
      </c>
      <c r="P815" s="12">
        <f t="shared" si="4"/>
        <v>11282.4</v>
      </c>
    </row>
    <row r="816" ht="12.75" customHeight="1">
      <c r="A816" s="3" t="s">
        <v>1151</v>
      </c>
      <c r="B816" s="3" t="s">
        <v>529</v>
      </c>
      <c r="C816" s="3" t="s">
        <v>76</v>
      </c>
      <c r="D816" s="3" t="s">
        <v>24</v>
      </c>
      <c r="E816" s="3" t="s">
        <v>20</v>
      </c>
      <c r="F816" s="3" t="s">
        <v>21</v>
      </c>
      <c r="G816" s="3" t="s">
        <v>11</v>
      </c>
      <c r="H816" s="3">
        <v>10635.0</v>
      </c>
      <c r="I816" s="3" t="s">
        <v>23</v>
      </c>
      <c r="J816" s="3">
        <v>0.2</v>
      </c>
      <c r="K816" s="3">
        <v>9000.0</v>
      </c>
      <c r="L816" s="3" t="s">
        <v>117</v>
      </c>
      <c r="M816" s="3" t="str">
        <f t="shared" si="1"/>
        <v>Target Achieved</v>
      </c>
      <c r="N816" s="10">
        <f t="shared" si="2"/>
        <v>0.5401069519</v>
      </c>
      <c r="O816" s="11">
        <f t="shared" si="3"/>
        <v>0.2</v>
      </c>
      <c r="P816" s="12">
        <f t="shared" si="4"/>
        <v>8508</v>
      </c>
    </row>
    <row r="817" ht="12.75" customHeight="1">
      <c r="A817" s="3" t="s">
        <v>1152</v>
      </c>
      <c r="B817" s="3" t="s">
        <v>197</v>
      </c>
      <c r="C817" s="3" t="s">
        <v>18</v>
      </c>
      <c r="D817" s="3" t="s">
        <v>16</v>
      </c>
      <c r="E817" s="3" t="s">
        <v>20</v>
      </c>
      <c r="F817" s="3" t="s">
        <v>52</v>
      </c>
      <c r="G817" s="3" t="s">
        <v>11</v>
      </c>
      <c r="H817" s="3">
        <v>14949.0</v>
      </c>
      <c r="I817" s="3" t="s">
        <v>47</v>
      </c>
      <c r="J817" s="3">
        <v>0.3</v>
      </c>
      <c r="K817" s="3">
        <v>14000.0</v>
      </c>
      <c r="L817" s="3" t="s">
        <v>314</v>
      </c>
      <c r="M817" s="3" t="str">
        <f t="shared" si="1"/>
        <v>Target Achieved</v>
      </c>
      <c r="N817" s="10">
        <f t="shared" si="2"/>
        <v>0.5376344086</v>
      </c>
      <c r="O817" s="11">
        <f t="shared" si="3"/>
        <v>0.3</v>
      </c>
      <c r="P817" s="12">
        <f t="shared" si="4"/>
        <v>10464.3</v>
      </c>
    </row>
    <row r="818" ht="12.75" customHeight="1">
      <c r="A818" s="3" t="s">
        <v>1153</v>
      </c>
      <c r="B818" s="3" t="s">
        <v>292</v>
      </c>
      <c r="C818" s="3" t="s">
        <v>18</v>
      </c>
      <c r="D818" s="3" t="s">
        <v>16</v>
      </c>
      <c r="E818" s="3" t="s">
        <v>20</v>
      </c>
      <c r="F818" s="3" t="s">
        <v>41</v>
      </c>
      <c r="G818" s="3" t="s">
        <v>11</v>
      </c>
      <c r="H818" s="3">
        <v>13871.0</v>
      </c>
      <c r="I818" s="3" t="s">
        <v>37</v>
      </c>
      <c r="J818" s="3">
        <v>0.1</v>
      </c>
      <c r="K818" s="3">
        <v>14000.0</v>
      </c>
      <c r="L818" s="3" t="s">
        <v>337</v>
      </c>
      <c r="M818" s="3" t="str">
        <f t="shared" si="1"/>
        <v>Below Target</v>
      </c>
      <c r="N818" s="10">
        <f t="shared" si="2"/>
        <v>0.5351351351</v>
      </c>
      <c r="O818" s="11">
        <f t="shared" si="3"/>
        <v>0.1</v>
      </c>
      <c r="P818" s="12">
        <f t="shared" si="4"/>
        <v>12483.9</v>
      </c>
    </row>
    <row r="819" ht="12.75" customHeight="1">
      <c r="A819" s="3" t="s">
        <v>1154</v>
      </c>
      <c r="B819" s="3" t="s">
        <v>40</v>
      </c>
      <c r="C819" s="3" t="s">
        <v>76</v>
      </c>
      <c r="D819" s="3" t="s">
        <v>24</v>
      </c>
      <c r="E819" s="3" t="s">
        <v>20</v>
      </c>
      <c r="F819" s="3" t="s">
        <v>41</v>
      </c>
      <c r="G819" s="3" t="s">
        <v>12</v>
      </c>
      <c r="H819" s="3">
        <v>8586.0</v>
      </c>
      <c r="I819" s="3" t="s">
        <v>42</v>
      </c>
      <c r="K819" s="3">
        <v>9000.0</v>
      </c>
      <c r="L819" s="3" t="s">
        <v>323</v>
      </c>
      <c r="M819" s="3" t="str">
        <f t="shared" si="1"/>
        <v>Below Target</v>
      </c>
      <c r="N819" s="10">
        <f t="shared" si="2"/>
        <v>0.5380434783</v>
      </c>
      <c r="O819" s="11" t="str">
        <f t="shared" si="3"/>
        <v/>
      </c>
      <c r="P819" s="12">
        <f t="shared" si="4"/>
        <v>7298.1</v>
      </c>
    </row>
    <row r="820" ht="12.75" customHeight="1">
      <c r="A820" s="3" t="s">
        <v>1155</v>
      </c>
      <c r="B820" s="3" t="s">
        <v>1132</v>
      </c>
      <c r="C820" s="3" t="s">
        <v>57</v>
      </c>
      <c r="D820" s="3" t="s">
        <v>19</v>
      </c>
      <c r="E820" s="3" t="s">
        <v>58</v>
      </c>
      <c r="F820" s="3" t="s">
        <v>21</v>
      </c>
      <c r="G820" s="3" t="s">
        <v>11</v>
      </c>
      <c r="H820" s="3">
        <v>14622.0</v>
      </c>
      <c r="I820" s="3" t="s">
        <v>47</v>
      </c>
      <c r="J820" s="3">
        <v>0.3</v>
      </c>
      <c r="K820" s="3">
        <v>13000.0</v>
      </c>
      <c r="L820" s="3" t="s">
        <v>324</v>
      </c>
      <c r="M820" s="3" t="str">
        <f t="shared" si="1"/>
        <v>Target Achieved</v>
      </c>
      <c r="N820" s="10">
        <f t="shared" si="2"/>
        <v>0.5409836066</v>
      </c>
      <c r="O820" s="11">
        <f t="shared" si="3"/>
        <v>0.3</v>
      </c>
      <c r="P820" s="12">
        <f t="shared" si="4"/>
        <v>10235.4</v>
      </c>
    </row>
    <row r="821" ht="12.75" customHeight="1">
      <c r="A821" s="3" t="s">
        <v>1156</v>
      </c>
      <c r="B821" s="3" t="s">
        <v>743</v>
      </c>
      <c r="C821" s="3" t="s">
        <v>76</v>
      </c>
      <c r="D821" s="3" t="s">
        <v>24</v>
      </c>
      <c r="E821" s="3" t="s">
        <v>46</v>
      </c>
      <c r="F821" s="3" t="s">
        <v>21</v>
      </c>
      <c r="G821" s="3" t="s">
        <v>11</v>
      </c>
      <c r="H821" s="3">
        <v>9511.0</v>
      </c>
      <c r="I821" s="3" t="s">
        <v>37</v>
      </c>
      <c r="J821" s="3">
        <v>0.1</v>
      </c>
      <c r="K821" s="3">
        <v>9000.0</v>
      </c>
      <c r="L821" s="3" t="s">
        <v>96</v>
      </c>
      <c r="M821" s="3" t="str">
        <f t="shared" si="1"/>
        <v>Target Achieved</v>
      </c>
      <c r="N821" s="10">
        <f t="shared" si="2"/>
        <v>0.5384615385</v>
      </c>
      <c r="O821" s="11">
        <f t="shared" si="3"/>
        <v>0.1</v>
      </c>
      <c r="P821" s="12">
        <f t="shared" si="4"/>
        <v>8559.9</v>
      </c>
    </row>
    <row r="822" ht="12.75" customHeight="1">
      <c r="A822" s="3" t="s">
        <v>1157</v>
      </c>
      <c r="B822" s="3" t="s">
        <v>105</v>
      </c>
      <c r="C822" s="3" t="s">
        <v>76</v>
      </c>
      <c r="D822" s="3" t="s">
        <v>24</v>
      </c>
      <c r="E822" s="3" t="s">
        <v>20</v>
      </c>
      <c r="F822" s="3" t="s">
        <v>21</v>
      </c>
      <c r="G822" s="3" t="s">
        <v>13</v>
      </c>
      <c r="H822" s="3">
        <v>9959.0</v>
      </c>
      <c r="I822" s="3" t="s">
        <v>42</v>
      </c>
      <c r="K822" s="3">
        <v>9000.0</v>
      </c>
      <c r="L822" s="15" t="s">
        <v>147</v>
      </c>
      <c r="M822" s="3" t="str">
        <f t="shared" si="1"/>
        <v>Target Achieved</v>
      </c>
      <c r="N822" s="10">
        <f t="shared" si="2"/>
        <v>0.5359116022</v>
      </c>
      <c r="O822" s="11" t="str">
        <f t="shared" si="3"/>
        <v/>
      </c>
      <c r="P822" s="12">
        <f t="shared" si="4"/>
        <v>8465.15</v>
      </c>
    </row>
    <row r="823" ht="12.75" customHeight="1">
      <c r="A823" s="3" t="s">
        <v>1158</v>
      </c>
      <c r="B823" s="3" t="s">
        <v>174</v>
      </c>
      <c r="C823" s="3" t="s">
        <v>57</v>
      </c>
      <c r="D823" s="3" t="s">
        <v>19</v>
      </c>
      <c r="E823" s="3" t="s">
        <v>58</v>
      </c>
      <c r="F823" s="3" t="s">
        <v>21</v>
      </c>
      <c r="G823" s="3" t="s">
        <v>11</v>
      </c>
      <c r="H823" s="3">
        <v>12846.0</v>
      </c>
      <c r="I823" s="3" t="s">
        <v>37</v>
      </c>
      <c r="J823" s="3">
        <v>0.1</v>
      </c>
      <c r="K823" s="3">
        <v>13000.0</v>
      </c>
      <c r="L823" s="15" t="s">
        <v>316</v>
      </c>
      <c r="M823" s="3" t="str">
        <f t="shared" si="1"/>
        <v>Below Target</v>
      </c>
      <c r="N823" s="10">
        <f t="shared" si="2"/>
        <v>0.5333333333</v>
      </c>
      <c r="O823" s="11">
        <f t="shared" si="3"/>
        <v>0.1</v>
      </c>
      <c r="P823" s="12">
        <f t="shared" si="4"/>
        <v>11561.4</v>
      </c>
    </row>
    <row r="824" ht="12.75" customHeight="1">
      <c r="A824" s="3" t="s">
        <v>1159</v>
      </c>
      <c r="B824" s="3" t="s">
        <v>700</v>
      </c>
      <c r="C824" s="3" t="s">
        <v>57</v>
      </c>
      <c r="D824" s="3" t="s">
        <v>19</v>
      </c>
      <c r="E824" s="3" t="s">
        <v>58</v>
      </c>
      <c r="F824" s="3" t="s">
        <v>41</v>
      </c>
      <c r="G824" s="3" t="s">
        <v>11</v>
      </c>
      <c r="H824" s="3">
        <v>12327.0</v>
      </c>
      <c r="I824" s="3" t="s">
        <v>23</v>
      </c>
      <c r="J824" s="3">
        <v>0.2</v>
      </c>
      <c r="K824" s="3">
        <v>13000.0</v>
      </c>
      <c r="L824" s="3" t="s">
        <v>83</v>
      </c>
      <c r="M824" s="3" t="str">
        <f t="shared" si="1"/>
        <v>Below Target</v>
      </c>
      <c r="N824" s="10">
        <f t="shared" si="2"/>
        <v>0.5363128492</v>
      </c>
      <c r="O824" s="11">
        <f t="shared" si="3"/>
        <v>0.2</v>
      </c>
      <c r="P824" s="12">
        <f t="shared" si="4"/>
        <v>9861.6</v>
      </c>
    </row>
    <row r="825" ht="12.75" customHeight="1">
      <c r="A825" s="3" t="s">
        <v>1160</v>
      </c>
      <c r="B825" s="3" t="s">
        <v>1100</v>
      </c>
      <c r="C825" s="3" t="s">
        <v>18</v>
      </c>
      <c r="D825" s="3" t="s">
        <v>16</v>
      </c>
      <c r="E825" s="3" t="s">
        <v>46</v>
      </c>
      <c r="F825" s="3" t="s">
        <v>52</v>
      </c>
      <c r="G825" s="3" t="s">
        <v>11</v>
      </c>
      <c r="H825" s="3">
        <v>14597.0</v>
      </c>
      <c r="I825" s="3" t="s">
        <v>47</v>
      </c>
      <c r="J825" s="3">
        <v>0.3</v>
      </c>
      <c r="K825" s="3">
        <v>14000.0</v>
      </c>
      <c r="L825" s="15" t="s">
        <v>123</v>
      </c>
      <c r="M825" s="3" t="str">
        <f t="shared" si="1"/>
        <v>Target Achieved</v>
      </c>
      <c r="N825" s="10">
        <f t="shared" si="2"/>
        <v>0.5393258427</v>
      </c>
      <c r="O825" s="11">
        <f t="shared" si="3"/>
        <v>0.3</v>
      </c>
      <c r="P825" s="12">
        <f t="shared" si="4"/>
        <v>10217.9</v>
      </c>
    </row>
    <row r="826" ht="12.75" customHeight="1">
      <c r="A826" s="3" t="s">
        <v>1161</v>
      </c>
      <c r="B826" s="3" t="s">
        <v>648</v>
      </c>
      <c r="C826" s="3" t="s">
        <v>76</v>
      </c>
      <c r="D826" s="3" t="s">
        <v>24</v>
      </c>
      <c r="E826" s="3" t="s">
        <v>20</v>
      </c>
      <c r="F826" s="3" t="s">
        <v>52</v>
      </c>
      <c r="G826" s="3" t="s">
        <v>12</v>
      </c>
      <c r="H826" s="3">
        <v>10890.0</v>
      </c>
      <c r="I826" s="3" t="s">
        <v>23</v>
      </c>
      <c r="J826" s="3">
        <v>0.2</v>
      </c>
      <c r="K826" s="3">
        <v>9000.0</v>
      </c>
      <c r="L826" s="3" t="s">
        <v>88</v>
      </c>
      <c r="M826" s="3" t="str">
        <f t="shared" si="1"/>
        <v>Target Achieved</v>
      </c>
      <c r="N826" s="10">
        <f t="shared" si="2"/>
        <v>0.5367231638</v>
      </c>
      <c r="O826" s="11">
        <f t="shared" si="3"/>
        <v>0.2</v>
      </c>
      <c r="P826" s="12">
        <f t="shared" si="4"/>
        <v>8712</v>
      </c>
    </row>
    <row r="827" ht="12.75" customHeight="1">
      <c r="A827" s="3" t="s">
        <v>1162</v>
      </c>
      <c r="B827" s="3" t="s">
        <v>488</v>
      </c>
      <c r="C827" s="3" t="s">
        <v>18</v>
      </c>
      <c r="D827" s="3" t="s">
        <v>16</v>
      </c>
      <c r="E827" s="3" t="s">
        <v>46</v>
      </c>
      <c r="F827" s="3" t="s">
        <v>21</v>
      </c>
      <c r="G827" s="3" t="s">
        <v>12</v>
      </c>
      <c r="H827" s="3">
        <v>15568.0</v>
      </c>
      <c r="I827" s="3" t="s">
        <v>23</v>
      </c>
      <c r="J827" s="3">
        <v>0.2</v>
      </c>
      <c r="K827" s="3">
        <v>14000.0</v>
      </c>
      <c r="L827" s="15" t="s">
        <v>103</v>
      </c>
      <c r="M827" s="3" t="str">
        <f t="shared" si="1"/>
        <v>Target Achieved</v>
      </c>
      <c r="N827" s="10">
        <f t="shared" si="2"/>
        <v>0.5340909091</v>
      </c>
      <c r="O827" s="11">
        <f t="shared" si="3"/>
        <v>0.2</v>
      </c>
      <c r="P827" s="12">
        <f t="shared" si="4"/>
        <v>12454.4</v>
      </c>
    </row>
    <row r="828" ht="12.75" customHeight="1">
      <c r="A828" s="3" t="s">
        <v>1163</v>
      </c>
      <c r="B828" s="3" t="s">
        <v>512</v>
      </c>
      <c r="C828" s="3" t="s">
        <v>57</v>
      </c>
      <c r="D828" s="3" t="s">
        <v>19</v>
      </c>
      <c r="E828" s="3" t="s">
        <v>20</v>
      </c>
      <c r="F828" s="3" t="s">
        <v>41</v>
      </c>
      <c r="G828" s="3" t="s">
        <v>11</v>
      </c>
      <c r="H828" s="3">
        <v>12261.0</v>
      </c>
      <c r="I828" s="3" t="s">
        <v>47</v>
      </c>
      <c r="J828" s="3">
        <v>0.3</v>
      </c>
      <c r="K828" s="3">
        <v>13000.0</v>
      </c>
      <c r="L828" s="3" t="s">
        <v>319</v>
      </c>
      <c r="M828" s="3" t="str">
        <f t="shared" si="1"/>
        <v>Below Target</v>
      </c>
      <c r="N828" s="10">
        <f t="shared" si="2"/>
        <v>0.5314285714</v>
      </c>
      <c r="O828" s="11">
        <f t="shared" si="3"/>
        <v>0.3</v>
      </c>
      <c r="P828" s="12">
        <f t="shared" si="4"/>
        <v>8582.7</v>
      </c>
    </row>
    <row r="829" ht="12.75" customHeight="1">
      <c r="A829" s="3" t="s">
        <v>1164</v>
      </c>
      <c r="B829" s="3" t="s">
        <v>392</v>
      </c>
      <c r="C829" s="3" t="s">
        <v>45</v>
      </c>
      <c r="D829" s="3" t="s">
        <v>22</v>
      </c>
      <c r="E829" s="3" t="s">
        <v>20</v>
      </c>
      <c r="F829" s="3" t="s">
        <v>41</v>
      </c>
      <c r="G829" s="3" t="s">
        <v>13</v>
      </c>
      <c r="H829" s="3">
        <v>18680.0</v>
      </c>
      <c r="I829" s="3" t="s">
        <v>23</v>
      </c>
      <c r="J829" s="3">
        <v>0.2</v>
      </c>
      <c r="K829" s="3">
        <v>17000.0</v>
      </c>
      <c r="L829" s="3" t="s">
        <v>164</v>
      </c>
      <c r="M829" s="3" t="str">
        <f t="shared" si="1"/>
        <v>Target Achieved</v>
      </c>
      <c r="N829" s="10">
        <f t="shared" si="2"/>
        <v>0.5344827586</v>
      </c>
      <c r="O829" s="11">
        <f t="shared" si="3"/>
        <v>0.2</v>
      </c>
      <c r="P829" s="12">
        <f t="shared" si="4"/>
        <v>14944</v>
      </c>
    </row>
    <row r="830" ht="12.75" customHeight="1">
      <c r="A830" s="3" t="s">
        <v>1165</v>
      </c>
      <c r="B830" s="3" t="s">
        <v>143</v>
      </c>
      <c r="C830" s="3" t="s">
        <v>45</v>
      </c>
      <c r="D830" s="3" t="s">
        <v>22</v>
      </c>
      <c r="E830" s="3" t="s">
        <v>46</v>
      </c>
      <c r="F830" s="3" t="s">
        <v>21</v>
      </c>
      <c r="G830" s="3" t="s">
        <v>11</v>
      </c>
      <c r="H830" s="3">
        <v>18503.0</v>
      </c>
      <c r="K830" s="3">
        <v>17000.0</v>
      </c>
      <c r="L830" s="15" t="s">
        <v>348</v>
      </c>
      <c r="M830" s="3" t="str">
        <f t="shared" si="1"/>
        <v>Target Achieved</v>
      </c>
      <c r="N830" s="10">
        <f t="shared" si="2"/>
        <v>0.5317919075</v>
      </c>
      <c r="O830" s="11">
        <f t="shared" si="3"/>
        <v>0</v>
      </c>
      <c r="P830" s="12">
        <f t="shared" si="4"/>
        <v>18503</v>
      </c>
    </row>
    <row r="831" ht="12.75" customHeight="1">
      <c r="A831" s="3" t="s">
        <v>1166</v>
      </c>
      <c r="B831" s="3" t="s">
        <v>79</v>
      </c>
      <c r="C831" s="3" t="s">
        <v>76</v>
      </c>
      <c r="D831" s="3" t="s">
        <v>24</v>
      </c>
      <c r="E831" s="3" t="s">
        <v>46</v>
      </c>
      <c r="F831" s="3" t="s">
        <v>41</v>
      </c>
      <c r="G831" s="3" t="s">
        <v>12</v>
      </c>
      <c r="H831" s="3">
        <v>9701.0</v>
      </c>
      <c r="K831" s="3">
        <v>9000.0</v>
      </c>
      <c r="L831" s="3" t="s">
        <v>345</v>
      </c>
      <c r="M831" s="3" t="str">
        <f t="shared" si="1"/>
        <v>Target Achieved</v>
      </c>
      <c r="N831" s="10">
        <f t="shared" si="2"/>
        <v>0.5290697674</v>
      </c>
      <c r="O831" s="11">
        <f t="shared" si="3"/>
        <v>0</v>
      </c>
      <c r="P831" s="12">
        <f t="shared" si="4"/>
        <v>9701</v>
      </c>
    </row>
    <row r="832" ht="12.75" customHeight="1">
      <c r="A832" s="3" t="s">
        <v>1167</v>
      </c>
      <c r="B832" s="3" t="s">
        <v>627</v>
      </c>
      <c r="C832" s="3" t="s">
        <v>18</v>
      </c>
      <c r="D832" s="3" t="s">
        <v>16</v>
      </c>
      <c r="E832" s="3" t="s">
        <v>20</v>
      </c>
      <c r="F832" s="3" t="s">
        <v>52</v>
      </c>
      <c r="G832" s="3" t="s">
        <v>13</v>
      </c>
      <c r="H832" s="3">
        <v>13002.0</v>
      </c>
      <c r="I832" s="3" t="s">
        <v>42</v>
      </c>
      <c r="K832" s="3">
        <v>14000.0</v>
      </c>
      <c r="L832" s="3" t="s">
        <v>73</v>
      </c>
      <c r="M832" s="3" t="str">
        <f t="shared" si="1"/>
        <v>Below Target</v>
      </c>
      <c r="N832" s="10">
        <f t="shared" si="2"/>
        <v>0.5263157895</v>
      </c>
      <c r="O832" s="11" t="str">
        <f t="shared" si="3"/>
        <v/>
      </c>
      <c r="P832" s="12">
        <f t="shared" si="4"/>
        <v>11051.7</v>
      </c>
    </row>
    <row r="833" ht="12.75" customHeight="1">
      <c r="A833" s="3" t="s">
        <v>1168</v>
      </c>
      <c r="B833" s="3" t="s">
        <v>263</v>
      </c>
      <c r="C833" s="3" t="s">
        <v>57</v>
      </c>
      <c r="D833" s="3" t="s">
        <v>19</v>
      </c>
      <c r="E833" s="3" t="s">
        <v>46</v>
      </c>
      <c r="F833" s="3" t="s">
        <v>41</v>
      </c>
      <c r="G833" s="3" t="s">
        <v>13</v>
      </c>
      <c r="H833" s="3">
        <v>11225.0</v>
      </c>
      <c r="I833" s="3" t="s">
        <v>47</v>
      </c>
      <c r="J833" s="3">
        <v>0.3</v>
      </c>
      <c r="K833" s="3">
        <v>13000.0</v>
      </c>
      <c r="L833" s="15" t="s">
        <v>341</v>
      </c>
      <c r="M833" s="3" t="str">
        <f t="shared" si="1"/>
        <v>Below Target</v>
      </c>
      <c r="N833" s="10">
        <f t="shared" si="2"/>
        <v>0.5294117647</v>
      </c>
      <c r="O833" s="11">
        <f t="shared" si="3"/>
        <v>0.3</v>
      </c>
      <c r="P833" s="12">
        <f t="shared" si="4"/>
        <v>7857.5</v>
      </c>
    </row>
    <row r="834" ht="12.75" customHeight="1">
      <c r="A834" s="3" t="s">
        <v>1169</v>
      </c>
      <c r="B834" s="3" t="s">
        <v>719</v>
      </c>
      <c r="C834" s="3" t="s">
        <v>18</v>
      </c>
      <c r="D834" s="3" t="s">
        <v>16</v>
      </c>
      <c r="E834" s="3" t="s">
        <v>20</v>
      </c>
      <c r="F834" s="3" t="s">
        <v>52</v>
      </c>
      <c r="G834" s="3" t="s">
        <v>12</v>
      </c>
      <c r="H834" s="3">
        <v>13222.0</v>
      </c>
      <c r="I834" s="3" t="s">
        <v>47</v>
      </c>
      <c r="J834" s="3">
        <v>0.3</v>
      </c>
      <c r="K834" s="3">
        <v>14000.0</v>
      </c>
      <c r="L834" s="3" t="s">
        <v>340</v>
      </c>
      <c r="M834" s="3" t="str">
        <f t="shared" si="1"/>
        <v>Below Target</v>
      </c>
      <c r="N834" s="10">
        <f t="shared" si="2"/>
        <v>0.5325443787</v>
      </c>
      <c r="O834" s="11">
        <f t="shared" si="3"/>
        <v>0.3</v>
      </c>
      <c r="P834" s="12">
        <f t="shared" si="4"/>
        <v>9255.4</v>
      </c>
    </row>
    <row r="835" ht="12.75" customHeight="1">
      <c r="A835" s="3" t="s">
        <v>1170</v>
      </c>
      <c r="B835" s="3" t="s">
        <v>56</v>
      </c>
      <c r="C835" s="3" t="s">
        <v>18</v>
      </c>
      <c r="D835" s="3" t="s">
        <v>16</v>
      </c>
      <c r="E835" s="3" t="s">
        <v>58</v>
      </c>
      <c r="F835" s="3" t="s">
        <v>41</v>
      </c>
      <c r="G835" s="3" t="s">
        <v>13</v>
      </c>
      <c r="H835" s="3">
        <v>14752.0</v>
      </c>
      <c r="I835" s="3" t="s">
        <v>47</v>
      </c>
      <c r="J835" s="3">
        <v>0.3</v>
      </c>
      <c r="K835" s="3">
        <v>14000.0</v>
      </c>
      <c r="L835" s="15" t="s">
        <v>322</v>
      </c>
      <c r="M835" s="3" t="str">
        <f t="shared" si="1"/>
        <v>Target Achieved</v>
      </c>
      <c r="N835" s="10">
        <f t="shared" si="2"/>
        <v>0.5357142857</v>
      </c>
      <c r="O835" s="11">
        <f t="shared" si="3"/>
        <v>0.3</v>
      </c>
      <c r="P835" s="12">
        <f t="shared" si="4"/>
        <v>10326.4</v>
      </c>
    </row>
    <row r="836" ht="12.75" customHeight="1">
      <c r="A836" s="3" t="s">
        <v>1171</v>
      </c>
      <c r="B836" s="3" t="s">
        <v>400</v>
      </c>
      <c r="C836" s="3" t="s">
        <v>57</v>
      </c>
      <c r="D836" s="3" t="s">
        <v>19</v>
      </c>
      <c r="E836" s="3" t="s">
        <v>58</v>
      </c>
      <c r="F836" s="3" t="s">
        <v>52</v>
      </c>
      <c r="G836" s="3" t="s">
        <v>12</v>
      </c>
      <c r="H836" s="3">
        <v>12475.0</v>
      </c>
      <c r="I836" s="3" t="s">
        <v>37</v>
      </c>
      <c r="J836" s="3">
        <v>0.1</v>
      </c>
      <c r="K836" s="3">
        <v>13000.0</v>
      </c>
      <c r="L836" s="15" t="s">
        <v>123</v>
      </c>
      <c r="M836" s="3" t="str">
        <f t="shared" si="1"/>
        <v>Below Target</v>
      </c>
      <c r="N836" s="10">
        <f t="shared" si="2"/>
        <v>0.5329341317</v>
      </c>
      <c r="O836" s="11">
        <f t="shared" si="3"/>
        <v>0.1</v>
      </c>
      <c r="P836" s="12">
        <f t="shared" si="4"/>
        <v>11227.5</v>
      </c>
    </row>
    <row r="837" ht="12.75" customHeight="1">
      <c r="A837" s="3" t="s">
        <v>1172</v>
      </c>
      <c r="B837" s="3" t="s">
        <v>1173</v>
      </c>
      <c r="C837" s="3" t="s">
        <v>45</v>
      </c>
      <c r="D837" s="3" t="s">
        <v>22</v>
      </c>
      <c r="E837" s="3" t="s">
        <v>58</v>
      </c>
      <c r="F837" s="3" t="s">
        <v>21</v>
      </c>
      <c r="G837" s="3" t="s">
        <v>13</v>
      </c>
      <c r="H837" s="3">
        <v>18106.0</v>
      </c>
      <c r="K837" s="3">
        <v>17000.0</v>
      </c>
      <c r="L837" s="3" t="s">
        <v>106</v>
      </c>
      <c r="M837" s="3" t="str">
        <f t="shared" si="1"/>
        <v>Target Achieved</v>
      </c>
      <c r="N837" s="10">
        <f t="shared" si="2"/>
        <v>0.5361445783</v>
      </c>
      <c r="O837" s="11">
        <f t="shared" si="3"/>
        <v>0</v>
      </c>
      <c r="P837" s="12">
        <f t="shared" si="4"/>
        <v>18106</v>
      </c>
    </row>
    <row r="838" ht="12.75" customHeight="1">
      <c r="A838" s="3" t="s">
        <v>1174</v>
      </c>
      <c r="B838" s="3" t="s">
        <v>1005</v>
      </c>
      <c r="C838" s="3" t="s">
        <v>45</v>
      </c>
      <c r="D838" s="3" t="s">
        <v>22</v>
      </c>
      <c r="E838" s="3" t="s">
        <v>58</v>
      </c>
      <c r="F838" s="3" t="s">
        <v>41</v>
      </c>
      <c r="G838" s="3" t="s">
        <v>13</v>
      </c>
      <c r="H838" s="3">
        <v>17845.0</v>
      </c>
      <c r="I838" s="3" t="s">
        <v>47</v>
      </c>
      <c r="J838" s="3">
        <v>0.3</v>
      </c>
      <c r="K838" s="3">
        <v>17000.0</v>
      </c>
      <c r="L838" s="3" t="s">
        <v>332</v>
      </c>
      <c r="M838" s="3" t="str">
        <f t="shared" si="1"/>
        <v>Target Achieved</v>
      </c>
      <c r="N838" s="10">
        <f t="shared" si="2"/>
        <v>0.5333333333</v>
      </c>
      <c r="O838" s="11">
        <f t="shared" si="3"/>
        <v>0.3</v>
      </c>
      <c r="P838" s="12">
        <f t="shared" si="4"/>
        <v>12491.5</v>
      </c>
    </row>
    <row r="839" ht="12.75" customHeight="1">
      <c r="A839" s="3" t="s">
        <v>1175</v>
      </c>
      <c r="B839" s="3" t="s">
        <v>488</v>
      </c>
      <c r="C839" s="3" t="s">
        <v>57</v>
      </c>
      <c r="D839" s="3" t="s">
        <v>19</v>
      </c>
      <c r="E839" s="3" t="s">
        <v>20</v>
      </c>
      <c r="F839" s="3" t="s">
        <v>41</v>
      </c>
      <c r="G839" s="3" t="s">
        <v>12</v>
      </c>
      <c r="H839" s="3">
        <v>11238.0</v>
      </c>
      <c r="I839" s="3" t="s">
        <v>37</v>
      </c>
      <c r="J839" s="3">
        <v>0.1</v>
      </c>
      <c r="K839" s="3">
        <v>13000.0</v>
      </c>
      <c r="L839" s="15" t="s">
        <v>352</v>
      </c>
      <c r="M839" s="3" t="str">
        <f t="shared" si="1"/>
        <v>Below Target</v>
      </c>
      <c r="N839" s="10">
        <f t="shared" si="2"/>
        <v>0.5304878049</v>
      </c>
      <c r="O839" s="11">
        <f t="shared" si="3"/>
        <v>0.1</v>
      </c>
      <c r="P839" s="12">
        <f t="shared" si="4"/>
        <v>10114.2</v>
      </c>
    </row>
    <row r="840" ht="12.75" customHeight="1">
      <c r="A840" s="3" t="s">
        <v>1176</v>
      </c>
      <c r="B840" s="3" t="s">
        <v>865</v>
      </c>
      <c r="C840" s="3" t="s">
        <v>18</v>
      </c>
      <c r="D840" s="3" t="s">
        <v>16</v>
      </c>
      <c r="E840" s="3" t="s">
        <v>58</v>
      </c>
      <c r="F840" s="3" t="s">
        <v>52</v>
      </c>
      <c r="G840" s="3" t="s">
        <v>12</v>
      </c>
      <c r="H840" s="3">
        <v>14477.0</v>
      </c>
      <c r="I840" s="3" t="s">
        <v>47</v>
      </c>
      <c r="J840" s="3">
        <v>0.3</v>
      </c>
      <c r="K840" s="3">
        <v>14000.0</v>
      </c>
      <c r="L840" s="3" t="s">
        <v>117</v>
      </c>
      <c r="M840" s="3" t="str">
        <f t="shared" si="1"/>
        <v>Target Achieved</v>
      </c>
      <c r="N840" s="10">
        <f t="shared" si="2"/>
        <v>0.5337423313</v>
      </c>
      <c r="O840" s="11">
        <f t="shared" si="3"/>
        <v>0.3</v>
      </c>
      <c r="P840" s="12">
        <f t="shared" si="4"/>
        <v>10133.9</v>
      </c>
    </row>
    <row r="841" ht="12.75" customHeight="1">
      <c r="A841" s="3" t="s">
        <v>1177</v>
      </c>
      <c r="B841" s="3" t="s">
        <v>937</v>
      </c>
      <c r="C841" s="3" t="s">
        <v>45</v>
      </c>
      <c r="D841" s="3" t="s">
        <v>22</v>
      </c>
      <c r="E841" s="3" t="s">
        <v>58</v>
      </c>
      <c r="F841" s="3" t="s">
        <v>52</v>
      </c>
      <c r="G841" s="3" t="s">
        <v>12</v>
      </c>
      <c r="H841" s="3">
        <v>17552.0</v>
      </c>
      <c r="I841" s="3" t="s">
        <v>47</v>
      </c>
      <c r="J841" s="3">
        <v>0.3</v>
      </c>
      <c r="K841" s="3">
        <v>17000.0</v>
      </c>
      <c r="L841" s="3" t="s">
        <v>80</v>
      </c>
      <c r="M841" s="3" t="str">
        <f t="shared" si="1"/>
        <v>Target Achieved</v>
      </c>
      <c r="N841" s="10">
        <f t="shared" si="2"/>
        <v>0.5308641975</v>
      </c>
      <c r="O841" s="11">
        <f t="shared" si="3"/>
        <v>0.3</v>
      </c>
      <c r="P841" s="12">
        <f t="shared" si="4"/>
        <v>12286.4</v>
      </c>
    </row>
    <row r="842" ht="12.75" customHeight="1">
      <c r="A842" s="3" t="s">
        <v>1178</v>
      </c>
      <c r="B842" s="3" t="s">
        <v>820</v>
      </c>
      <c r="C842" s="3" t="s">
        <v>76</v>
      </c>
      <c r="D842" s="3" t="s">
        <v>24</v>
      </c>
      <c r="E842" s="3" t="s">
        <v>20</v>
      </c>
      <c r="F842" s="3" t="s">
        <v>52</v>
      </c>
      <c r="G842" s="3" t="s">
        <v>12</v>
      </c>
      <c r="H842" s="3">
        <v>9038.0</v>
      </c>
      <c r="K842" s="3">
        <v>9000.0</v>
      </c>
      <c r="L842" s="3" t="s">
        <v>330</v>
      </c>
      <c r="M842" s="3" t="str">
        <f t="shared" si="1"/>
        <v>Target Achieved</v>
      </c>
      <c r="N842" s="10">
        <f t="shared" si="2"/>
        <v>0.5279503106</v>
      </c>
      <c r="O842" s="11">
        <f t="shared" si="3"/>
        <v>0</v>
      </c>
      <c r="P842" s="12">
        <f t="shared" si="4"/>
        <v>9038</v>
      </c>
    </row>
    <row r="843" ht="12.75" customHeight="1">
      <c r="A843" s="3" t="s">
        <v>1179</v>
      </c>
      <c r="B843" s="3" t="s">
        <v>820</v>
      </c>
      <c r="C843" s="3" t="s">
        <v>57</v>
      </c>
      <c r="D843" s="3" t="s">
        <v>19</v>
      </c>
      <c r="E843" s="3" t="s">
        <v>20</v>
      </c>
      <c r="F843" s="3" t="s">
        <v>21</v>
      </c>
      <c r="G843" s="3" t="s">
        <v>13</v>
      </c>
      <c r="H843" s="3">
        <v>11006.0</v>
      </c>
      <c r="I843" s="3" t="s">
        <v>37</v>
      </c>
      <c r="J843" s="3">
        <v>0.1</v>
      </c>
      <c r="K843" s="3">
        <v>13000.0</v>
      </c>
      <c r="L843" s="15" t="s">
        <v>211</v>
      </c>
      <c r="M843" s="3" t="str">
        <f t="shared" si="1"/>
        <v>Below Target</v>
      </c>
      <c r="N843" s="10">
        <f t="shared" si="2"/>
        <v>0.525</v>
      </c>
      <c r="O843" s="11">
        <f t="shared" si="3"/>
        <v>0.1</v>
      </c>
      <c r="P843" s="12">
        <f t="shared" si="4"/>
        <v>9905.4</v>
      </c>
    </row>
    <row r="844" ht="12.75" customHeight="1">
      <c r="A844" s="3" t="s">
        <v>1180</v>
      </c>
      <c r="B844" s="3" t="s">
        <v>429</v>
      </c>
      <c r="C844" s="3" t="s">
        <v>18</v>
      </c>
      <c r="D844" s="3" t="s">
        <v>16</v>
      </c>
      <c r="E844" s="3" t="s">
        <v>20</v>
      </c>
      <c r="F844" s="3" t="s">
        <v>41</v>
      </c>
      <c r="G844" s="3" t="s">
        <v>12</v>
      </c>
      <c r="H844" s="3">
        <v>13698.0</v>
      </c>
      <c r="K844" s="3">
        <v>14000.0</v>
      </c>
      <c r="L844" s="15" t="s">
        <v>341</v>
      </c>
      <c r="M844" s="3" t="str">
        <f t="shared" si="1"/>
        <v>Below Target</v>
      </c>
      <c r="N844" s="10">
        <f t="shared" si="2"/>
        <v>0.5283018868</v>
      </c>
      <c r="O844" s="11">
        <f t="shared" si="3"/>
        <v>0</v>
      </c>
      <c r="P844" s="12">
        <f t="shared" si="4"/>
        <v>13698</v>
      </c>
    </row>
    <row r="845" ht="12.75" customHeight="1">
      <c r="A845" s="3" t="s">
        <v>1181</v>
      </c>
      <c r="B845" s="3" t="s">
        <v>374</v>
      </c>
      <c r="C845" s="3" t="s">
        <v>57</v>
      </c>
      <c r="D845" s="3" t="s">
        <v>19</v>
      </c>
      <c r="E845" s="3" t="s">
        <v>46</v>
      </c>
      <c r="F845" s="3" t="s">
        <v>52</v>
      </c>
      <c r="G845" s="3" t="s">
        <v>13</v>
      </c>
      <c r="H845" s="3">
        <v>13826.0</v>
      </c>
      <c r="I845" s="3" t="s">
        <v>47</v>
      </c>
      <c r="J845" s="3">
        <v>0.3</v>
      </c>
      <c r="K845" s="3">
        <v>13000.0</v>
      </c>
      <c r="L845" s="3" t="s">
        <v>320</v>
      </c>
      <c r="M845" s="3" t="str">
        <f t="shared" si="1"/>
        <v>Target Achieved</v>
      </c>
      <c r="N845" s="10">
        <f t="shared" si="2"/>
        <v>0.5316455696</v>
      </c>
      <c r="O845" s="11">
        <f t="shared" si="3"/>
        <v>0.3</v>
      </c>
      <c r="P845" s="12">
        <f t="shared" si="4"/>
        <v>9678.2</v>
      </c>
    </row>
    <row r="846" ht="12.75" customHeight="1">
      <c r="A846" s="3" t="s">
        <v>1182</v>
      </c>
      <c r="B846" s="3" t="s">
        <v>752</v>
      </c>
      <c r="C846" s="3" t="s">
        <v>45</v>
      </c>
      <c r="D846" s="3" t="s">
        <v>22</v>
      </c>
      <c r="E846" s="3" t="s">
        <v>58</v>
      </c>
      <c r="F846" s="3" t="s">
        <v>52</v>
      </c>
      <c r="G846" s="3" t="s">
        <v>12</v>
      </c>
      <c r="H846" s="3">
        <v>16326.0</v>
      </c>
      <c r="I846" s="3" t="s">
        <v>37</v>
      </c>
      <c r="J846" s="3">
        <v>0.1</v>
      </c>
      <c r="K846" s="3">
        <v>17000.0</v>
      </c>
      <c r="L846" s="15" t="s">
        <v>147</v>
      </c>
      <c r="M846" s="3" t="str">
        <f t="shared" si="1"/>
        <v>Below Target</v>
      </c>
      <c r="N846" s="10">
        <f t="shared" si="2"/>
        <v>0.5286624204</v>
      </c>
      <c r="O846" s="11">
        <f t="shared" si="3"/>
        <v>0.1</v>
      </c>
      <c r="P846" s="12">
        <f t="shared" si="4"/>
        <v>14693.4</v>
      </c>
    </row>
    <row r="847" ht="12.75" customHeight="1">
      <c r="A847" s="3" t="s">
        <v>1183</v>
      </c>
      <c r="B847" s="3" t="s">
        <v>413</v>
      </c>
      <c r="C847" s="3" t="s">
        <v>45</v>
      </c>
      <c r="D847" s="3" t="s">
        <v>22</v>
      </c>
      <c r="E847" s="3" t="s">
        <v>58</v>
      </c>
      <c r="F847" s="3" t="s">
        <v>52</v>
      </c>
      <c r="G847" s="3" t="s">
        <v>12</v>
      </c>
      <c r="H847" s="3">
        <v>17523.0</v>
      </c>
      <c r="I847" s="3" t="s">
        <v>37</v>
      </c>
      <c r="J847" s="3">
        <v>0.1</v>
      </c>
      <c r="K847" s="3">
        <v>17000.0</v>
      </c>
      <c r="L847" s="3" t="s">
        <v>106</v>
      </c>
      <c r="M847" s="3" t="str">
        <f t="shared" si="1"/>
        <v>Target Achieved</v>
      </c>
      <c r="N847" s="10">
        <f t="shared" si="2"/>
        <v>0.5320512821</v>
      </c>
      <c r="O847" s="11">
        <f t="shared" si="3"/>
        <v>0.1</v>
      </c>
      <c r="P847" s="12">
        <f t="shared" si="4"/>
        <v>15770.7</v>
      </c>
    </row>
    <row r="848" ht="12.75" customHeight="1">
      <c r="A848" s="3" t="s">
        <v>1184</v>
      </c>
      <c r="B848" s="3" t="s">
        <v>49</v>
      </c>
      <c r="C848" s="3" t="s">
        <v>45</v>
      </c>
      <c r="D848" s="3" t="s">
        <v>22</v>
      </c>
      <c r="E848" s="3" t="s">
        <v>58</v>
      </c>
      <c r="F848" s="3" t="s">
        <v>52</v>
      </c>
      <c r="G848" s="3" t="s">
        <v>11</v>
      </c>
      <c r="H848" s="3">
        <v>18752.0</v>
      </c>
      <c r="K848" s="3">
        <v>17000.0</v>
      </c>
      <c r="L848" s="3" t="s">
        <v>330</v>
      </c>
      <c r="M848" s="3" t="str">
        <f t="shared" si="1"/>
        <v>Target Achieved</v>
      </c>
      <c r="N848" s="10">
        <f t="shared" si="2"/>
        <v>0.5290322581</v>
      </c>
      <c r="O848" s="11">
        <f t="shared" si="3"/>
        <v>0</v>
      </c>
      <c r="P848" s="12">
        <f t="shared" si="4"/>
        <v>18752</v>
      </c>
    </row>
    <row r="849" ht="12.75" customHeight="1">
      <c r="A849" s="3" t="s">
        <v>1185</v>
      </c>
      <c r="B849" s="3" t="s">
        <v>85</v>
      </c>
      <c r="C849" s="3" t="s">
        <v>57</v>
      </c>
      <c r="D849" s="3" t="s">
        <v>19</v>
      </c>
      <c r="E849" s="3" t="s">
        <v>58</v>
      </c>
      <c r="F849" s="3" t="s">
        <v>41</v>
      </c>
      <c r="G849" s="3" t="s">
        <v>12</v>
      </c>
      <c r="H849" s="3">
        <v>12886.0</v>
      </c>
      <c r="I849" s="3" t="s">
        <v>42</v>
      </c>
      <c r="K849" s="3">
        <v>13000.0</v>
      </c>
      <c r="L849" s="3" t="s">
        <v>338</v>
      </c>
      <c r="M849" s="3" t="str">
        <f t="shared" si="1"/>
        <v>Below Target</v>
      </c>
      <c r="N849" s="10">
        <f t="shared" si="2"/>
        <v>0.525974026</v>
      </c>
      <c r="O849" s="11" t="str">
        <f t="shared" si="3"/>
        <v/>
      </c>
      <c r="P849" s="12">
        <f t="shared" si="4"/>
        <v>10953.1</v>
      </c>
    </row>
    <row r="850" ht="12.75" customHeight="1">
      <c r="A850" s="3" t="s">
        <v>1186</v>
      </c>
      <c r="B850" s="3" t="s">
        <v>902</v>
      </c>
      <c r="C850" s="3" t="s">
        <v>76</v>
      </c>
      <c r="D850" s="3" t="s">
        <v>24</v>
      </c>
      <c r="E850" s="3" t="s">
        <v>20</v>
      </c>
      <c r="F850" s="3" t="s">
        <v>41</v>
      </c>
      <c r="G850" s="3" t="s">
        <v>12</v>
      </c>
      <c r="H850" s="3">
        <v>8226.0</v>
      </c>
      <c r="I850" s="3" t="s">
        <v>42</v>
      </c>
      <c r="K850" s="3">
        <v>9000.0</v>
      </c>
      <c r="L850" s="3" t="s">
        <v>319</v>
      </c>
      <c r="M850" s="3" t="str">
        <f t="shared" si="1"/>
        <v>Below Target</v>
      </c>
      <c r="N850" s="10">
        <f t="shared" si="2"/>
        <v>0.5294117647</v>
      </c>
      <c r="O850" s="11" t="str">
        <f t="shared" si="3"/>
        <v/>
      </c>
      <c r="P850" s="12">
        <f t="shared" si="4"/>
        <v>6992.1</v>
      </c>
    </row>
    <row r="851" ht="12.75" customHeight="1">
      <c r="A851" s="3" t="s">
        <v>1187</v>
      </c>
      <c r="B851" s="3" t="s">
        <v>413</v>
      </c>
      <c r="C851" s="3" t="s">
        <v>18</v>
      </c>
      <c r="D851" s="3" t="s">
        <v>16</v>
      </c>
      <c r="E851" s="3" t="s">
        <v>46</v>
      </c>
      <c r="F851" s="3" t="s">
        <v>52</v>
      </c>
      <c r="G851" s="3" t="s">
        <v>12</v>
      </c>
      <c r="H851" s="3">
        <v>13358.0</v>
      </c>
      <c r="I851" s="3" t="s">
        <v>47</v>
      </c>
      <c r="J851" s="3">
        <v>0.3</v>
      </c>
      <c r="K851" s="3">
        <v>14000.0</v>
      </c>
      <c r="L851" s="15" t="s">
        <v>109</v>
      </c>
      <c r="M851" s="3" t="str">
        <f t="shared" si="1"/>
        <v>Below Target</v>
      </c>
      <c r="N851" s="10">
        <f t="shared" si="2"/>
        <v>0.5328947368</v>
      </c>
      <c r="O851" s="11">
        <f t="shared" si="3"/>
        <v>0.3</v>
      </c>
      <c r="P851" s="12">
        <f t="shared" si="4"/>
        <v>9350.6</v>
      </c>
    </row>
    <row r="852" ht="12.75" customHeight="1">
      <c r="A852" s="3" t="s">
        <v>1188</v>
      </c>
      <c r="B852" s="3" t="s">
        <v>331</v>
      </c>
      <c r="C852" s="3" t="s">
        <v>18</v>
      </c>
      <c r="D852" s="3" t="s">
        <v>16</v>
      </c>
      <c r="E852" s="3" t="s">
        <v>58</v>
      </c>
      <c r="F852" s="3" t="s">
        <v>21</v>
      </c>
      <c r="G852" s="3" t="s">
        <v>12</v>
      </c>
      <c r="H852" s="3">
        <v>14188.0</v>
      </c>
      <c r="I852" s="3" t="s">
        <v>23</v>
      </c>
      <c r="J852" s="3">
        <v>0.2</v>
      </c>
      <c r="K852" s="3">
        <v>14000.0</v>
      </c>
      <c r="L852" s="15" t="s">
        <v>352</v>
      </c>
      <c r="M852" s="3" t="str">
        <f t="shared" si="1"/>
        <v>Target Achieved</v>
      </c>
      <c r="N852" s="10">
        <f t="shared" si="2"/>
        <v>0.5364238411</v>
      </c>
      <c r="O852" s="11">
        <f t="shared" si="3"/>
        <v>0.2</v>
      </c>
      <c r="P852" s="12">
        <f t="shared" si="4"/>
        <v>11350.4</v>
      </c>
    </row>
    <row r="853" ht="12.75" customHeight="1">
      <c r="A853" s="3" t="s">
        <v>1189</v>
      </c>
      <c r="B853" s="3" t="s">
        <v>434</v>
      </c>
      <c r="C853" s="3" t="s">
        <v>57</v>
      </c>
      <c r="D853" s="3" t="s">
        <v>19</v>
      </c>
      <c r="E853" s="3" t="s">
        <v>20</v>
      </c>
      <c r="F853" s="3" t="s">
        <v>41</v>
      </c>
      <c r="G853" s="3" t="s">
        <v>11</v>
      </c>
      <c r="H853" s="3">
        <v>13888.0</v>
      </c>
      <c r="I853" s="3" t="s">
        <v>47</v>
      </c>
      <c r="J853" s="3">
        <v>0.3</v>
      </c>
      <c r="K853" s="3">
        <v>13000.0</v>
      </c>
      <c r="L853" s="3" t="s">
        <v>83</v>
      </c>
      <c r="M853" s="3" t="str">
        <f t="shared" si="1"/>
        <v>Target Achieved</v>
      </c>
      <c r="N853" s="10">
        <f t="shared" si="2"/>
        <v>0.5333333333</v>
      </c>
      <c r="O853" s="11">
        <f t="shared" si="3"/>
        <v>0.3</v>
      </c>
      <c r="P853" s="12">
        <f t="shared" si="4"/>
        <v>9721.6</v>
      </c>
    </row>
    <row r="854" ht="12.75" customHeight="1">
      <c r="A854" s="3" t="s">
        <v>1190</v>
      </c>
      <c r="B854" s="3" t="s">
        <v>684</v>
      </c>
      <c r="C854" s="3" t="s">
        <v>76</v>
      </c>
      <c r="D854" s="3" t="s">
        <v>24</v>
      </c>
      <c r="E854" s="3" t="s">
        <v>46</v>
      </c>
      <c r="F854" s="3" t="s">
        <v>21</v>
      </c>
      <c r="G854" s="3" t="s">
        <v>13</v>
      </c>
      <c r="H854" s="3">
        <v>8522.0</v>
      </c>
      <c r="K854" s="3">
        <v>9000.0</v>
      </c>
      <c r="L854" s="3" t="s">
        <v>106</v>
      </c>
      <c r="M854" s="3" t="str">
        <f t="shared" si="1"/>
        <v>Below Target</v>
      </c>
      <c r="N854" s="10">
        <f t="shared" si="2"/>
        <v>0.5302013423</v>
      </c>
      <c r="O854" s="11">
        <f t="shared" si="3"/>
        <v>0</v>
      </c>
      <c r="P854" s="12">
        <f t="shared" si="4"/>
        <v>8522</v>
      </c>
    </row>
    <row r="855" ht="12.75" customHeight="1">
      <c r="A855" s="3" t="s">
        <v>1191</v>
      </c>
      <c r="B855" s="3" t="s">
        <v>382</v>
      </c>
      <c r="C855" s="3" t="s">
        <v>45</v>
      </c>
      <c r="D855" s="3" t="s">
        <v>22</v>
      </c>
      <c r="E855" s="3" t="s">
        <v>46</v>
      </c>
      <c r="F855" s="3" t="s">
        <v>41</v>
      </c>
      <c r="G855" s="3" t="s">
        <v>11</v>
      </c>
      <c r="H855" s="3">
        <v>18215.0</v>
      </c>
      <c r="I855" s="3" t="s">
        <v>37</v>
      </c>
      <c r="J855" s="3">
        <v>0.1</v>
      </c>
      <c r="K855" s="3">
        <v>17000.0</v>
      </c>
      <c r="L855" s="3" t="s">
        <v>324</v>
      </c>
      <c r="M855" s="3" t="str">
        <f t="shared" si="1"/>
        <v>Target Achieved</v>
      </c>
      <c r="N855" s="10">
        <f t="shared" si="2"/>
        <v>0.5337837838</v>
      </c>
      <c r="O855" s="11">
        <f t="shared" si="3"/>
        <v>0.1</v>
      </c>
      <c r="P855" s="12">
        <f t="shared" si="4"/>
        <v>16393.5</v>
      </c>
    </row>
    <row r="856" ht="12.75" customHeight="1">
      <c r="A856" s="3" t="s">
        <v>1192</v>
      </c>
      <c r="B856" s="3" t="s">
        <v>288</v>
      </c>
      <c r="C856" s="3" t="s">
        <v>76</v>
      </c>
      <c r="D856" s="3" t="s">
        <v>24</v>
      </c>
      <c r="E856" s="3" t="s">
        <v>20</v>
      </c>
      <c r="F856" s="3" t="s">
        <v>41</v>
      </c>
      <c r="G856" s="3" t="s">
        <v>11</v>
      </c>
      <c r="H856" s="3">
        <v>10706.0</v>
      </c>
      <c r="I856" s="3" t="s">
        <v>42</v>
      </c>
      <c r="K856" s="3">
        <v>9000.0</v>
      </c>
      <c r="L856" s="15" t="s">
        <v>114</v>
      </c>
      <c r="M856" s="3" t="str">
        <f t="shared" si="1"/>
        <v>Target Achieved</v>
      </c>
      <c r="N856" s="10">
        <f t="shared" si="2"/>
        <v>0.5306122449</v>
      </c>
      <c r="O856" s="11" t="str">
        <f t="shared" si="3"/>
        <v/>
      </c>
      <c r="P856" s="12">
        <f t="shared" si="4"/>
        <v>9100.1</v>
      </c>
    </row>
    <row r="857" ht="12.75" customHeight="1">
      <c r="A857" s="3" t="s">
        <v>1193</v>
      </c>
      <c r="B857" s="3" t="s">
        <v>491</v>
      </c>
      <c r="C857" s="3" t="s">
        <v>76</v>
      </c>
      <c r="D857" s="3" t="s">
        <v>24</v>
      </c>
      <c r="E857" s="3" t="s">
        <v>20</v>
      </c>
      <c r="F857" s="3" t="s">
        <v>52</v>
      </c>
      <c r="G857" s="3" t="s">
        <v>11</v>
      </c>
      <c r="H857" s="3">
        <v>10176.0</v>
      </c>
      <c r="I857" s="3" t="s">
        <v>47</v>
      </c>
      <c r="J857" s="3">
        <v>0.3</v>
      </c>
      <c r="K857" s="3">
        <v>9000.0</v>
      </c>
      <c r="L857" s="15" t="s">
        <v>114</v>
      </c>
      <c r="M857" s="3" t="str">
        <f t="shared" si="1"/>
        <v>Target Achieved</v>
      </c>
      <c r="N857" s="10">
        <f t="shared" si="2"/>
        <v>0.5273972603</v>
      </c>
      <c r="O857" s="11">
        <f t="shared" si="3"/>
        <v>0.3</v>
      </c>
      <c r="P857" s="12">
        <f t="shared" si="4"/>
        <v>7123.2</v>
      </c>
    </row>
    <row r="858" ht="12.75" customHeight="1">
      <c r="A858" s="3" t="s">
        <v>1194</v>
      </c>
      <c r="B858" s="3" t="s">
        <v>180</v>
      </c>
      <c r="C858" s="3" t="s">
        <v>18</v>
      </c>
      <c r="D858" s="3" t="s">
        <v>16</v>
      </c>
      <c r="E858" s="3" t="s">
        <v>20</v>
      </c>
      <c r="F858" s="3" t="s">
        <v>52</v>
      </c>
      <c r="G858" s="3" t="s">
        <v>13</v>
      </c>
      <c r="H858" s="3">
        <v>12840.0</v>
      </c>
      <c r="I858" s="3" t="s">
        <v>37</v>
      </c>
      <c r="J858" s="3">
        <v>0.1</v>
      </c>
      <c r="K858" s="3">
        <v>14000.0</v>
      </c>
      <c r="L858" s="3" t="s">
        <v>345</v>
      </c>
      <c r="M858" s="3" t="str">
        <f t="shared" si="1"/>
        <v>Below Target</v>
      </c>
      <c r="N858" s="10">
        <f t="shared" si="2"/>
        <v>0.524137931</v>
      </c>
      <c r="O858" s="11">
        <f t="shared" si="3"/>
        <v>0.1</v>
      </c>
      <c r="P858" s="12">
        <f t="shared" si="4"/>
        <v>11556</v>
      </c>
    </row>
    <row r="859" ht="12.75" customHeight="1">
      <c r="A859" s="3" t="s">
        <v>1195</v>
      </c>
      <c r="B859" s="3" t="s">
        <v>134</v>
      </c>
      <c r="C859" s="3" t="s">
        <v>18</v>
      </c>
      <c r="D859" s="3" t="s">
        <v>16</v>
      </c>
      <c r="E859" s="3" t="s">
        <v>46</v>
      </c>
      <c r="F859" s="3" t="s">
        <v>21</v>
      </c>
      <c r="G859" s="3" t="s">
        <v>13</v>
      </c>
      <c r="H859" s="3">
        <v>14814.0</v>
      </c>
      <c r="I859" s="3" t="s">
        <v>42</v>
      </c>
      <c r="K859" s="3">
        <v>14000.0</v>
      </c>
      <c r="L859" s="3" t="s">
        <v>139</v>
      </c>
      <c r="M859" s="3" t="str">
        <f t="shared" si="1"/>
        <v>Target Achieved</v>
      </c>
      <c r="N859" s="10">
        <f t="shared" si="2"/>
        <v>0.5277777778</v>
      </c>
      <c r="O859" s="11" t="str">
        <f t="shared" si="3"/>
        <v/>
      </c>
      <c r="P859" s="12">
        <f t="shared" si="4"/>
        <v>12591.9</v>
      </c>
    </row>
    <row r="860" ht="12.75" customHeight="1">
      <c r="A860" s="3" t="s">
        <v>1196</v>
      </c>
      <c r="B860" s="3" t="s">
        <v>532</v>
      </c>
      <c r="C860" s="3" t="s">
        <v>76</v>
      </c>
      <c r="D860" s="3" t="s">
        <v>24</v>
      </c>
      <c r="E860" s="3" t="s">
        <v>46</v>
      </c>
      <c r="F860" s="3" t="s">
        <v>41</v>
      </c>
      <c r="G860" s="3" t="s">
        <v>12</v>
      </c>
      <c r="H860" s="3">
        <v>10138.0</v>
      </c>
      <c r="I860" s="3" t="s">
        <v>47</v>
      </c>
      <c r="J860" s="3">
        <v>0.3</v>
      </c>
      <c r="K860" s="3">
        <v>9000.0</v>
      </c>
      <c r="L860" s="15" t="s">
        <v>211</v>
      </c>
      <c r="M860" s="3" t="str">
        <f t="shared" si="1"/>
        <v>Target Achieved</v>
      </c>
      <c r="N860" s="10">
        <f t="shared" si="2"/>
        <v>0.5244755245</v>
      </c>
      <c r="O860" s="11">
        <f t="shared" si="3"/>
        <v>0.3</v>
      </c>
      <c r="P860" s="12">
        <f t="shared" si="4"/>
        <v>7096.6</v>
      </c>
    </row>
    <row r="861" ht="12.75" customHeight="1">
      <c r="A861" s="3" t="s">
        <v>1197</v>
      </c>
      <c r="B861" s="3" t="s">
        <v>679</v>
      </c>
      <c r="C861" s="3" t="s">
        <v>45</v>
      </c>
      <c r="D861" s="3" t="s">
        <v>22</v>
      </c>
      <c r="E861" s="3" t="s">
        <v>20</v>
      </c>
      <c r="F861" s="3" t="s">
        <v>41</v>
      </c>
      <c r="G861" s="3" t="s">
        <v>11</v>
      </c>
      <c r="H861" s="3">
        <v>15821.0</v>
      </c>
      <c r="I861" s="3" t="s">
        <v>23</v>
      </c>
      <c r="J861" s="3">
        <v>0.2</v>
      </c>
      <c r="K861" s="3">
        <v>17000.0</v>
      </c>
      <c r="L861" s="3" t="s">
        <v>268</v>
      </c>
      <c r="M861" s="3" t="str">
        <f t="shared" si="1"/>
        <v>Below Target</v>
      </c>
      <c r="N861" s="10">
        <f t="shared" si="2"/>
        <v>0.5211267606</v>
      </c>
      <c r="O861" s="11">
        <f t="shared" si="3"/>
        <v>0.2</v>
      </c>
      <c r="P861" s="12">
        <f t="shared" si="4"/>
        <v>12656.8</v>
      </c>
    </row>
    <row r="862" ht="12.75" customHeight="1">
      <c r="A862" s="3" t="s">
        <v>1198</v>
      </c>
      <c r="B862" s="3" t="s">
        <v>403</v>
      </c>
      <c r="C862" s="3" t="s">
        <v>45</v>
      </c>
      <c r="D862" s="3" t="s">
        <v>22</v>
      </c>
      <c r="E862" s="3" t="s">
        <v>58</v>
      </c>
      <c r="F862" s="3" t="s">
        <v>52</v>
      </c>
      <c r="G862" s="3" t="s">
        <v>13</v>
      </c>
      <c r="H862" s="3">
        <v>16116.0</v>
      </c>
      <c r="I862" s="3" t="s">
        <v>23</v>
      </c>
      <c r="J862" s="3">
        <v>0.2</v>
      </c>
      <c r="K862" s="3">
        <v>17000.0</v>
      </c>
      <c r="L862" s="15" t="s">
        <v>103</v>
      </c>
      <c r="M862" s="3" t="str">
        <f t="shared" si="1"/>
        <v>Below Target</v>
      </c>
      <c r="N862" s="10">
        <f t="shared" si="2"/>
        <v>0.524822695</v>
      </c>
      <c r="O862" s="11">
        <f t="shared" si="3"/>
        <v>0.2</v>
      </c>
      <c r="P862" s="12">
        <f t="shared" si="4"/>
        <v>12892.8</v>
      </c>
    </row>
    <row r="863" ht="12.75" customHeight="1">
      <c r="A863" s="3" t="s">
        <v>1199</v>
      </c>
      <c r="B863" s="3" t="s">
        <v>280</v>
      </c>
      <c r="C863" s="3" t="s">
        <v>18</v>
      </c>
      <c r="D863" s="3" t="s">
        <v>16</v>
      </c>
      <c r="E863" s="3" t="s">
        <v>20</v>
      </c>
      <c r="F863" s="3" t="s">
        <v>52</v>
      </c>
      <c r="G863" s="3" t="s">
        <v>12</v>
      </c>
      <c r="H863" s="3">
        <v>12419.0</v>
      </c>
      <c r="I863" s="3" t="s">
        <v>23</v>
      </c>
      <c r="J863" s="3">
        <v>0.2</v>
      </c>
      <c r="K863" s="3">
        <v>14000.0</v>
      </c>
      <c r="L863" s="15" t="s">
        <v>348</v>
      </c>
      <c r="M863" s="3" t="str">
        <f t="shared" si="1"/>
        <v>Below Target</v>
      </c>
      <c r="N863" s="10">
        <f t="shared" si="2"/>
        <v>0.5285714286</v>
      </c>
      <c r="O863" s="11">
        <f t="shared" si="3"/>
        <v>0.2</v>
      </c>
      <c r="P863" s="12">
        <f t="shared" si="4"/>
        <v>9935.2</v>
      </c>
    </row>
    <row r="864" ht="12.75" customHeight="1">
      <c r="A864" s="3" t="s">
        <v>1200</v>
      </c>
      <c r="B864" s="3" t="s">
        <v>396</v>
      </c>
      <c r="C864" s="3" t="s">
        <v>45</v>
      </c>
      <c r="D864" s="3" t="s">
        <v>22</v>
      </c>
      <c r="E864" s="3" t="s">
        <v>58</v>
      </c>
      <c r="F864" s="3" t="s">
        <v>41</v>
      </c>
      <c r="G864" s="3" t="s">
        <v>12</v>
      </c>
      <c r="H864" s="3">
        <v>18293.0</v>
      </c>
      <c r="I864" s="3" t="s">
        <v>47</v>
      </c>
      <c r="J864" s="3">
        <v>0.3</v>
      </c>
      <c r="K864" s="3">
        <v>17000.0</v>
      </c>
      <c r="L864" s="15" t="s">
        <v>352</v>
      </c>
      <c r="M864" s="3" t="str">
        <f t="shared" si="1"/>
        <v>Target Achieved</v>
      </c>
      <c r="N864" s="10">
        <f t="shared" si="2"/>
        <v>0.5323741007</v>
      </c>
      <c r="O864" s="11">
        <f t="shared" si="3"/>
        <v>0.3</v>
      </c>
      <c r="P864" s="12">
        <f t="shared" si="4"/>
        <v>12805.1</v>
      </c>
    </row>
    <row r="865" ht="12.75" customHeight="1">
      <c r="A865" s="3" t="s">
        <v>1201</v>
      </c>
      <c r="B865" s="3" t="s">
        <v>294</v>
      </c>
      <c r="C865" s="3" t="s">
        <v>18</v>
      </c>
      <c r="D865" s="3" t="s">
        <v>16</v>
      </c>
      <c r="E865" s="3" t="s">
        <v>58</v>
      </c>
      <c r="F865" s="3" t="s">
        <v>52</v>
      </c>
      <c r="G865" s="3" t="s">
        <v>11</v>
      </c>
      <c r="H865" s="3">
        <v>14214.0</v>
      </c>
      <c r="K865" s="3">
        <v>14000.0</v>
      </c>
      <c r="L865" s="15" t="s">
        <v>347</v>
      </c>
      <c r="M865" s="3" t="str">
        <f t="shared" si="1"/>
        <v>Target Achieved</v>
      </c>
      <c r="N865" s="10">
        <f t="shared" si="2"/>
        <v>0.5289855072</v>
      </c>
      <c r="O865" s="11">
        <f t="shared" si="3"/>
        <v>0</v>
      </c>
      <c r="P865" s="12">
        <f t="shared" si="4"/>
        <v>14214</v>
      </c>
    </row>
    <row r="866" ht="12.75" customHeight="1">
      <c r="A866" s="3" t="s">
        <v>1202</v>
      </c>
      <c r="B866" s="3" t="s">
        <v>657</v>
      </c>
      <c r="C866" s="3" t="s">
        <v>76</v>
      </c>
      <c r="D866" s="3" t="s">
        <v>24</v>
      </c>
      <c r="E866" s="3" t="s">
        <v>20</v>
      </c>
      <c r="F866" s="3" t="s">
        <v>41</v>
      </c>
      <c r="G866" s="3" t="s">
        <v>13</v>
      </c>
      <c r="H866" s="3">
        <v>8571.0</v>
      </c>
      <c r="I866" s="3" t="s">
        <v>37</v>
      </c>
      <c r="J866" s="3">
        <v>0.1</v>
      </c>
      <c r="K866" s="3">
        <v>9000.0</v>
      </c>
      <c r="L866" s="15" t="s">
        <v>123</v>
      </c>
      <c r="M866" s="3" t="str">
        <f t="shared" si="1"/>
        <v>Below Target</v>
      </c>
      <c r="N866" s="10">
        <f t="shared" si="2"/>
        <v>0.5255474453</v>
      </c>
      <c r="O866" s="11">
        <f t="shared" si="3"/>
        <v>0.1</v>
      </c>
      <c r="P866" s="12">
        <f t="shared" si="4"/>
        <v>7713.9</v>
      </c>
    </row>
    <row r="867" ht="12.75" customHeight="1">
      <c r="A867" s="3" t="s">
        <v>1203</v>
      </c>
      <c r="B867" s="3" t="s">
        <v>225</v>
      </c>
      <c r="C867" s="3" t="s">
        <v>57</v>
      </c>
      <c r="D867" s="3" t="s">
        <v>19</v>
      </c>
      <c r="E867" s="3" t="s">
        <v>20</v>
      </c>
      <c r="F867" s="3" t="s">
        <v>52</v>
      </c>
      <c r="G867" s="3" t="s">
        <v>12</v>
      </c>
      <c r="H867" s="3">
        <v>13578.0</v>
      </c>
      <c r="K867" s="3">
        <v>13000.0</v>
      </c>
      <c r="L867" s="15" t="s">
        <v>322</v>
      </c>
      <c r="M867" s="3" t="str">
        <f t="shared" si="1"/>
        <v>Target Achieved</v>
      </c>
      <c r="N867" s="10">
        <f t="shared" si="2"/>
        <v>0.5294117647</v>
      </c>
      <c r="O867" s="11">
        <f t="shared" si="3"/>
        <v>0</v>
      </c>
      <c r="P867" s="12">
        <f t="shared" si="4"/>
        <v>13578</v>
      </c>
    </row>
    <row r="868" ht="12.75" customHeight="1">
      <c r="A868" s="3" t="s">
        <v>1204</v>
      </c>
      <c r="B868" s="3" t="s">
        <v>1205</v>
      </c>
      <c r="C868" s="3" t="s">
        <v>45</v>
      </c>
      <c r="D868" s="3" t="s">
        <v>22</v>
      </c>
      <c r="E868" s="3" t="s">
        <v>46</v>
      </c>
      <c r="F868" s="3" t="s">
        <v>52</v>
      </c>
      <c r="G868" s="3" t="s">
        <v>12</v>
      </c>
      <c r="H868" s="3">
        <v>18314.0</v>
      </c>
      <c r="I868" s="3" t="s">
        <v>42</v>
      </c>
      <c r="K868" s="3">
        <v>17000.0</v>
      </c>
      <c r="L868" s="15" t="s">
        <v>123</v>
      </c>
      <c r="M868" s="3" t="str">
        <f t="shared" si="1"/>
        <v>Target Achieved</v>
      </c>
      <c r="N868" s="10">
        <f t="shared" si="2"/>
        <v>0.5259259259</v>
      </c>
      <c r="O868" s="11" t="str">
        <f t="shared" si="3"/>
        <v/>
      </c>
      <c r="P868" s="12">
        <f t="shared" si="4"/>
        <v>15566.9</v>
      </c>
    </row>
    <row r="869" ht="12.75" customHeight="1">
      <c r="A869" s="3" t="s">
        <v>1206</v>
      </c>
      <c r="B869" s="3" t="s">
        <v>189</v>
      </c>
      <c r="C869" s="3" t="s">
        <v>76</v>
      </c>
      <c r="D869" s="3" t="s">
        <v>24</v>
      </c>
      <c r="E869" s="3" t="s">
        <v>20</v>
      </c>
      <c r="F869" s="3" t="s">
        <v>41</v>
      </c>
      <c r="G869" s="3" t="s">
        <v>13</v>
      </c>
      <c r="H869" s="3">
        <v>10329.0</v>
      </c>
      <c r="K869" s="3">
        <v>9000.0</v>
      </c>
      <c r="L869" s="15" t="s">
        <v>234</v>
      </c>
      <c r="M869" s="3" t="str">
        <f t="shared" si="1"/>
        <v>Target Achieved</v>
      </c>
      <c r="N869" s="10">
        <f t="shared" si="2"/>
        <v>0.5223880597</v>
      </c>
      <c r="O869" s="11">
        <f t="shared" si="3"/>
        <v>0</v>
      </c>
      <c r="P869" s="12">
        <f t="shared" si="4"/>
        <v>10329</v>
      </c>
    </row>
    <row r="870" ht="12.75" customHeight="1">
      <c r="A870" s="3" t="s">
        <v>1207</v>
      </c>
      <c r="B870" s="3" t="s">
        <v>160</v>
      </c>
      <c r="C870" s="3" t="s">
        <v>76</v>
      </c>
      <c r="D870" s="3" t="s">
        <v>24</v>
      </c>
      <c r="E870" s="3" t="s">
        <v>58</v>
      </c>
      <c r="F870" s="3" t="s">
        <v>41</v>
      </c>
      <c r="G870" s="3" t="s">
        <v>13</v>
      </c>
      <c r="H870" s="3">
        <v>7588.0</v>
      </c>
      <c r="I870" s="3" t="s">
        <v>42</v>
      </c>
      <c r="K870" s="3">
        <v>9000.0</v>
      </c>
      <c r="L870" s="3" t="s">
        <v>320</v>
      </c>
      <c r="M870" s="3" t="str">
        <f t="shared" si="1"/>
        <v>Below Target</v>
      </c>
      <c r="N870" s="10">
        <f t="shared" si="2"/>
        <v>0.5187969925</v>
      </c>
      <c r="O870" s="11" t="str">
        <f t="shared" si="3"/>
        <v/>
      </c>
      <c r="P870" s="12">
        <f t="shared" si="4"/>
        <v>6449.8</v>
      </c>
    </row>
    <row r="871" ht="12.75" customHeight="1">
      <c r="A871" s="3" t="s">
        <v>1208</v>
      </c>
      <c r="B871" s="3" t="s">
        <v>927</v>
      </c>
      <c r="C871" s="3" t="s">
        <v>76</v>
      </c>
      <c r="D871" s="3" t="s">
        <v>24</v>
      </c>
      <c r="E871" s="3" t="s">
        <v>46</v>
      </c>
      <c r="F871" s="3" t="s">
        <v>52</v>
      </c>
      <c r="G871" s="3" t="s">
        <v>12</v>
      </c>
      <c r="H871" s="3">
        <v>8353.0</v>
      </c>
      <c r="I871" s="3" t="s">
        <v>47</v>
      </c>
      <c r="J871" s="3">
        <v>0.3</v>
      </c>
      <c r="K871" s="3">
        <v>9000.0</v>
      </c>
      <c r="L871" s="3" t="s">
        <v>345</v>
      </c>
      <c r="M871" s="3" t="str">
        <f t="shared" si="1"/>
        <v>Below Target</v>
      </c>
      <c r="N871" s="10">
        <f t="shared" si="2"/>
        <v>0.5227272727</v>
      </c>
      <c r="O871" s="11">
        <f t="shared" si="3"/>
        <v>0.3</v>
      </c>
      <c r="P871" s="12">
        <f t="shared" si="4"/>
        <v>5847.1</v>
      </c>
    </row>
    <row r="872" ht="12.75" customHeight="1">
      <c r="A872" s="3" t="s">
        <v>1209</v>
      </c>
      <c r="B872" s="3" t="s">
        <v>811</v>
      </c>
      <c r="C872" s="3" t="s">
        <v>18</v>
      </c>
      <c r="D872" s="3" t="s">
        <v>16</v>
      </c>
      <c r="E872" s="3" t="s">
        <v>58</v>
      </c>
      <c r="F872" s="3" t="s">
        <v>41</v>
      </c>
      <c r="G872" s="3" t="s">
        <v>11</v>
      </c>
      <c r="H872" s="3">
        <v>13960.0</v>
      </c>
      <c r="K872" s="3">
        <v>14000.0</v>
      </c>
      <c r="L872" s="3" t="s">
        <v>77</v>
      </c>
      <c r="M872" s="3" t="str">
        <f t="shared" si="1"/>
        <v>Below Target</v>
      </c>
      <c r="N872" s="10">
        <f t="shared" si="2"/>
        <v>0.5267175573</v>
      </c>
      <c r="O872" s="11">
        <f t="shared" si="3"/>
        <v>0</v>
      </c>
      <c r="P872" s="12">
        <f t="shared" si="4"/>
        <v>13960</v>
      </c>
    </row>
    <row r="873" ht="12.75" customHeight="1">
      <c r="A873" s="3" t="s">
        <v>1210</v>
      </c>
      <c r="B873" s="3" t="s">
        <v>331</v>
      </c>
      <c r="C873" s="3" t="s">
        <v>45</v>
      </c>
      <c r="D873" s="3" t="s">
        <v>22</v>
      </c>
      <c r="E873" s="3" t="s">
        <v>20</v>
      </c>
      <c r="F873" s="3" t="s">
        <v>52</v>
      </c>
      <c r="G873" s="3" t="s">
        <v>13</v>
      </c>
      <c r="H873" s="3">
        <v>17080.0</v>
      </c>
      <c r="I873" s="3" t="s">
        <v>37</v>
      </c>
      <c r="J873" s="3">
        <v>0.1</v>
      </c>
      <c r="K873" s="3">
        <v>17000.0</v>
      </c>
      <c r="L873" s="3" t="s">
        <v>314</v>
      </c>
      <c r="M873" s="3" t="str">
        <f t="shared" si="1"/>
        <v>Target Achieved</v>
      </c>
      <c r="N873" s="10">
        <f t="shared" si="2"/>
        <v>0.5307692308</v>
      </c>
      <c r="O873" s="11">
        <f t="shared" si="3"/>
        <v>0.1</v>
      </c>
      <c r="P873" s="12">
        <f t="shared" si="4"/>
        <v>15372</v>
      </c>
    </row>
    <row r="874" ht="12.75" customHeight="1">
      <c r="A874" s="3" t="s">
        <v>1211</v>
      </c>
      <c r="B874" s="3" t="s">
        <v>1212</v>
      </c>
      <c r="C874" s="3" t="s">
        <v>18</v>
      </c>
      <c r="D874" s="3" t="s">
        <v>16</v>
      </c>
      <c r="E874" s="3" t="s">
        <v>58</v>
      </c>
      <c r="F874" s="3" t="s">
        <v>52</v>
      </c>
      <c r="G874" s="3" t="s">
        <v>12</v>
      </c>
      <c r="H874" s="3">
        <v>12290.0</v>
      </c>
      <c r="I874" s="3" t="s">
        <v>47</v>
      </c>
      <c r="J874" s="3">
        <v>0.3</v>
      </c>
      <c r="K874" s="3">
        <v>14000.0</v>
      </c>
      <c r="L874" s="15" t="s">
        <v>348</v>
      </c>
      <c r="M874" s="3" t="str">
        <f t="shared" si="1"/>
        <v>Below Target</v>
      </c>
      <c r="N874" s="10">
        <f t="shared" si="2"/>
        <v>0.5271317829</v>
      </c>
      <c r="O874" s="11">
        <f t="shared" si="3"/>
        <v>0.3</v>
      </c>
      <c r="P874" s="12">
        <f t="shared" si="4"/>
        <v>8603</v>
      </c>
    </row>
    <row r="875" ht="12.75" customHeight="1">
      <c r="A875" s="3" t="s">
        <v>1213</v>
      </c>
      <c r="B875" s="3" t="s">
        <v>64</v>
      </c>
      <c r="C875" s="3" t="s">
        <v>76</v>
      </c>
      <c r="D875" s="3" t="s">
        <v>24</v>
      </c>
      <c r="E875" s="3" t="s">
        <v>46</v>
      </c>
      <c r="F875" s="3" t="s">
        <v>52</v>
      </c>
      <c r="G875" s="3" t="s">
        <v>13</v>
      </c>
      <c r="H875" s="3">
        <v>9244.0</v>
      </c>
      <c r="I875" s="3" t="s">
        <v>23</v>
      </c>
      <c r="J875" s="3">
        <v>0.2</v>
      </c>
      <c r="K875" s="3">
        <v>9000.0</v>
      </c>
      <c r="L875" s="3" t="s">
        <v>283</v>
      </c>
      <c r="M875" s="3" t="str">
        <f t="shared" si="1"/>
        <v>Target Achieved</v>
      </c>
      <c r="N875" s="10">
        <f t="shared" si="2"/>
        <v>0.53125</v>
      </c>
      <c r="O875" s="11">
        <f t="shared" si="3"/>
        <v>0.2</v>
      </c>
      <c r="P875" s="12">
        <f t="shared" si="4"/>
        <v>7395.2</v>
      </c>
    </row>
    <row r="876" ht="12.75" customHeight="1">
      <c r="A876" s="3" t="s">
        <v>1214</v>
      </c>
      <c r="B876" s="3" t="s">
        <v>54</v>
      </c>
      <c r="C876" s="3" t="s">
        <v>45</v>
      </c>
      <c r="D876" s="3" t="s">
        <v>22</v>
      </c>
      <c r="E876" s="3" t="s">
        <v>46</v>
      </c>
      <c r="F876" s="3" t="s">
        <v>52</v>
      </c>
      <c r="G876" s="3" t="s">
        <v>12</v>
      </c>
      <c r="H876" s="3">
        <v>16765.0</v>
      </c>
      <c r="K876" s="3">
        <v>17000.0</v>
      </c>
      <c r="L876" s="15" t="s">
        <v>352</v>
      </c>
      <c r="M876" s="3" t="str">
        <f t="shared" si="1"/>
        <v>Below Target</v>
      </c>
      <c r="N876" s="10">
        <f t="shared" si="2"/>
        <v>0.5275590551</v>
      </c>
      <c r="O876" s="11">
        <f t="shared" si="3"/>
        <v>0</v>
      </c>
      <c r="P876" s="12">
        <f t="shared" si="4"/>
        <v>16765</v>
      </c>
    </row>
    <row r="877" ht="12.75" customHeight="1">
      <c r="A877" s="3" t="s">
        <v>1215</v>
      </c>
      <c r="B877" s="3" t="s">
        <v>702</v>
      </c>
      <c r="C877" s="3" t="s">
        <v>57</v>
      </c>
      <c r="D877" s="3" t="s">
        <v>19</v>
      </c>
      <c r="E877" s="3" t="s">
        <v>46</v>
      </c>
      <c r="F877" s="3" t="s">
        <v>52</v>
      </c>
      <c r="G877" s="3" t="s">
        <v>12</v>
      </c>
      <c r="H877" s="3">
        <v>11319.0</v>
      </c>
      <c r="I877" s="3" t="s">
        <v>42</v>
      </c>
      <c r="K877" s="3">
        <v>13000.0</v>
      </c>
      <c r="L877" s="3" t="s">
        <v>106</v>
      </c>
      <c r="M877" s="3" t="str">
        <f t="shared" si="1"/>
        <v>Below Target</v>
      </c>
      <c r="N877" s="10">
        <f t="shared" si="2"/>
        <v>0.5317460317</v>
      </c>
      <c r="O877" s="11" t="str">
        <f t="shared" si="3"/>
        <v/>
      </c>
      <c r="P877" s="12">
        <f t="shared" si="4"/>
        <v>9621.15</v>
      </c>
    </row>
    <row r="878" ht="12.75" customHeight="1">
      <c r="A878" s="3" t="s">
        <v>1216</v>
      </c>
      <c r="B878" s="3" t="s">
        <v>286</v>
      </c>
      <c r="C878" s="3" t="s">
        <v>76</v>
      </c>
      <c r="D878" s="3" t="s">
        <v>24</v>
      </c>
      <c r="E878" s="3" t="s">
        <v>58</v>
      </c>
      <c r="F878" s="3" t="s">
        <v>52</v>
      </c>
      <c r="G878" s="3" t="s">
        <v>13</v>
      </c>
      <c r="H878" s="3">
        <v>10367.0</v>
      </c>
      <c r="K878" s="3">
        <v>9000.0</v>
      </c>
      <c r="L878" s="15" t="s">
        <v>316</v>
      </c>
      <c r="M878" s="3" t="str">
        <f t="shared" si="1"/>
        <v>Target Achieved</v>
      </c>
      <c r="N878" s="10">
        <f t="shared" si="2"/>
        <v>0.536</v>
      </c>
      <c r="O878" s="11">
        <f t="shared" si="3"/>
        <v>0</v>
      </c>
      <c r="P878" s="12">
        <f t="shared" si="4"/>
        <v>10367</v>
      </c>
    </row>
    <row r="879" ht="12.75" customHeight="1">
      <c r="A879" s="3" t="s">
        <v>1217</v>
      </c>
      <c r="B879" s="3" t="s">
        <v>89</v>
      </c>
      <c r="C879" s="3" t="s">
        <v>18</v>
      </c>
      <c r="D879" s="3" t="s">
        <v>16</v>
      </c>
      <c r="E879" s="3" t="s">
        <v>20</v>
      </c>
      <c r="F879" s="3" t="s">
        <v>41</v>
      </c>
      <c r="G879" s="3" t="s">
        <v>12</v>
      </c>
      <c r="H879" s="3">
        <v>15334.0</v>
      </c>
      <c r="I879" s="3" t="s">
        <v>42</v>
      </c>
      <c r="K879" s="3">
        <v>14000.0</v>
      </c>
      <c r="L879" s="3" t="s">
        <v>324</v>
      </c>
      <c r="M879" s="3" t="str">
        <f t="shared" si="1"/>
        <v>Target Achieved</v>
      </c>
      <c r="N879" s="10">
        <f t="shared" si="2"/>
        <v>0.5322580645</v>
      </c>
      <c r="O879" s="11" t="str">
        <f t="shared" si="3"/>
        <v/>
      </c>
      <c r="P879" s="12">
        <f t="shared" si="4"/>
        <v>13033.9</v>
      </c>
    </row>
    <row r="880" ht="12.75" customHeight="1">
      <c r="A880" s="3" t="s">
        <v>1218</v>
      </c>
      <c r="B880" s="3" t="s">
        <v>587</v>
      </c>
      <c r="C880" s="3" t="s">
        <v>45</v>
      </c>
      <c r="D880" s="3" t="s">
        <v>22</v>
      </c>
      <c r="E880" s="3" t="s">
        <v>58</v>
      </c>
      <c r="F880" s="3" t="s">
        <v>52</v>
      </c>
      <c r="G880" s="3" t="s">
        <v>12</v>
      </c>
      <c r="H880" s="3">
        <v>15251.0</v>
      </c>
      <c r="I880" s="3" t="s">
        <v>37</v>
      </c>
      <c r="J880" s="3">
        <v>0.1</v>
      </c>
      <c r="K880" s="3">
        <v>17000.0</v>
      </c>
      <c r="L880" s="3" t="s">
        <v>65</v>
      </c>
      <c r="M880" s="3" t="str">
        <f t="shared" si="1"/>
        <v>Below Target</v>
      </c>
      <c r="N880" s="10">
        <f t="shared" si="2"/>
        <v>0.5284552846</v>
      </c>
      <c r="O880" s="11">
        <f t="shared" si="3"/>
        <v>0.1</v>
      </c>
      <c r="P880" s="12">
        <f t="shared" si="4"/>
        <v>13725.9</v>
      </c>
    </row>
    <row r="881" ht="12.75" customHeight="1">
      <c r="A881" s="3" t="s">
        <v>1219</v>
      </c>
      <c r="B881" s="3" t="s">
        <v>512</v>
      </c>
      <c r="C881" s="3" t="s">
        <v>18</v>
      </c>
      <c r="D881" s="3" t="s">
        <v>16</v>
      </c>
      <c r="E881" s="3" t="s">
        <v>46</v>
      </c>
      <c r="F881" s="3" t="s">
        <v>52</v>
      </c>
      <c r="G881" s="3" t="s">
        <v>13</v>
      </c>
      <c r="H881" s="3">
        <v>13855.0</v>
      </c>
      <c r="I881" s="3" t="s">
        <v>42</v>
      </c>
      <c r="K881" s="3">
        <v>14000.0</v>
      </c>
      <c r="L881" s="3" t="s">
        <v>268</v>
      </c>
      <c r="M881" s="3" t="str">
        <f t="shared" si="1"/>
        <v>Below Target</v>
      </c>
      <c r="N881" s="10">
        <f t="shared" si="2"/>
        <v>0.5327868852</v>
      </c>
      <c r="O881" s="11" t="str">
        <f t="shared" si="3"/>
        <v/>
      </c>
      <c r="P881" s="12">
        <f t="shared" si="4"/>
        <v>11776.75</v>
      </c>
    </row>
    <row r="882" ht="12.75" customHeight="1">
      <c r="A882" s="3" t="s">
        <v>1220</v>
      </c>
      <c r="B882" s="3" t="s">
        <v>717</v>
      </c>
      <c r="C882" s="3" t="s">
        <v>76</v>
      </c>
      <c r="D882" s="3" t="s">
        <v>24</v>
      </c>
      <c r="E882" s="3" t="s">
        <v>46</v>
      </c>
      <c r="F882" s="3" t="s">
        <v>41</v>
      </c>
      <c r="G882" s="3" t="s">
        <v>12</v>
      </c>
      <c r="H882" s="3">
        <v>10593.0</v>
      </c>
      <c r="I882" s="3" t="s">
        <v>47</v>
      </c>
      <c r="J882" s="3">
        <v>0.3</v>
      </c>
      <c r="K882" s="3">
        <v>9000.0</v>
      </c>
      <c r="L882" s="3" t="s">
        <v>327</v>
      </c>
      <c r="M882" s="3" t="str">
        <f t="shared" si="1"/>
        <v>Target Achieved</v>
      </c>
      <c r="N882" s="10">
        <f t="shared" si="2"/>
        <v>0.5371900826</v>
      </c>
      <c r="O882" s="11">
        <f t="shared" si="3"/>
        <v>0.3</v>
      </c>
      <c r="P882" s="12">
        <f t="shared" si="4"/>
        <v>7415.1</v>
      </c>
    </row>
    <row r="883" ht="12.75" customHeight="1">
      <c r="A883" s="3" t="s">
        <v>1221</v>
      </c>
      <c r="B883" s="3" t="s">
        <v>679</v>
      </c>
      <c r="C883" s="3" t="s">
        <v>45</v>
      </c>
      <c r="D883" s="3" t="s">
        <v>22</v>
      </c>
      <c r="E883" s="3" t="s">
        <v>58</v>
      </c>
      <c r="F883" s="3" t="s">
        <v>52</v>
      </c>
      <c r="G883" s="3" t="s">
        <v>11</v>
      </c>
      <c r="H883" s="3">
        <v>15365.0</v>
      </c>
      <c r="I883" s="3" t="s">
        <v>42</v>
      </c>
      <c r="K883" s="3">
        <v>17000.0</v>
      </c>
      <c r="L883" s="15" t="s">
        <v>308</v>
      </c>
      <c r="M883" s="3" t="str">
        <f t="shared" si="1"/>
        <v>Below Target</v>
      </c>
      <c r="N883" s="10">
        <f t="shared" si="2"/>
        <v>0.5333333333</v>
      </c>
      <c r="O883" s="11" t="str">
        <f t="shared" si="3"/>
        <v/>
      </c>
      <c r="P883" s="12">
        <f t="shared" si="4"/>
        <v>13060.25</v>
      </c>
    </row>
    <row r="884" ht="12.75" customHeight="1">
      <c r="A884" s="3" t="s">
        <v>1222</v>
      </c>
      <c r="B884" s="3" t="s">
        <v>113</v>
      </c>
      <c r="C884" s="3" t="s">
        <v>76</v>
      </c>
      <c r="D884" s="3" t="s">
        <v>24</v>
      </c>
      <c r="E884" s="3" t="s">
        <v>46</v>
      </c>
      <c r="F884" s="3" t="s">
        <v>21</v>
      </c>
      <c r="G884" s="3" t="s">
        <v>13</v>
      </c>
      <c r="H884" s="3">
        <v>8512.0</v>
      </c>
      <c r="I884" s="3" t="s">
        <v>42</v>
      </c>
      <c r="K884" s="3">
        <v>9000.0</v>
      </c>
      <c r="L884" s="15" t="s">
        <v>347</v>
      </c>
      <c r="M884" s="3" t="str">
        <f t="shared" si="1"/>
        <v>Below Target</v>
      </c>
      <c r="N884" s="10">
        <f t="shared" si="2"/>
        <v>0.5378151261</v>
      </c>
      <c r="O884" s="11" t="str">
        <f t="shared" si="3"/>
        <v/>
      </c>
      <c r="P884" s="12">
        <f t="shared" si="4"/>
        <v>7235.2</v>
      </c>
    </row>
    <row r="885" ht="12.75" customHeight="1">
      <c r="A885" s="3" t="s">
        <v>1223</v>
      </c>
      <c r="B885" s="3" t="s">
        <v>242</v>
      </c>
      <c r="C885" s="3" t="s">
        <v>45</v>
      </c>
      <c r="D885" s="3" t="s">
        <v>22</v>
      </c>
      <c r="E885" s="3" t="s">
        <v>46</v>
      </c>
      <c r="F885" s="3" t="s">
        <v>21</v>
      </c>
      <c r="G885" s="3" t="s">
        <v>13</v>
      </c>
      <c r="H885" s="3">
        <v>15963.0</v>
      </c>
      <c r="K885" s="3">
        <v>17000.0</v>
      </c>
      <c r="L885" s="3" t="s">
        <v>96</v>
      </c>
      <c r="M885" s="3" t="str">
        <f t="shared" si="1"/>
        <v>Below Target</v>
      </c>
      <c r="N885" s="10">
        <f t="shared" si="2"/>
        <v>0.5423728814</v>
      </c>
      <c r="O885" s="11">
        <f t="shared" si="3"/>
        <v>0</v>
      </c>
      <c r="P885" s="12">
        <f t="shared" si="4"/>
        <v>15963</v>
      </c>
    </row>
    <row r="886" ht="12.75" customHeight="1">
      <c r="A886" s="3" t="s">
        <v>1224</v>
      </c>
      <c r="B886" s="3" t="s">
        <v>434</v>
      </c>
      <c r="C886" s="3" t="s">
        <v>45</v>
      </c>
      <c r="D886" s="3" t="s">
        <v>22</v>
      </c>
      <c r="E886" s="3" t="s">
        <v>20</v>
      </c>
      <c r="F886" s="3" t="s">
        <v>21</v>
      </c>
      <c r="G886" s="3" t="s">
        <v>11</v>
      </c>
      <c r="H886" s="3">
        <v>16562.0</v>
      </c>
      <c r="K886" s="3">
        <v>17000.0</v>
      </c>
      <c r="L886" s="15" t="s">
        <v>348</v>
      </c>
      <c r="M886" s="3" t="str">
        <f t="shared" si="1"/>
        <v>Below Target</v>
      </c>
      <c r="N886" s="10">
        <f t="shared" si="2"/>
        <v>0.547008547</v>
      </c>
      <c r="O886" s="11">
        <f t="shared" si="3"/>
        <v>0</v>
      </c>
      <c r="P886" s="12">
        <f t="shared" si="4"/>
        <v>16562</v>
      </c>
    </row>
    <row r="887" ht="12.75" customHeight="1">
      <c r="A887" s="3" t="s">
        <v>1225</v>
      </c>
      <c r="B887" s="3" t="s">
        <v>917</v>
      </c>
      <c r="C887" s="3" t="s">
        <v>57</v>
      </c>
      <c r="D887" s="3" t="s">
        <v>19</v>
      </c>
      <c r="E887" s="3" t="s">
        <v>58</v>
      </c>
      <c r="F887" s="3" t="s">
        <v>41</v>
      </c>
      <c r="G887" s="3" t="s">
        <v>13</v>
      </c>
      <c r="H887" s="3">
        <v>13275.0</v>
      </c>
      <c r="K887" s="3">
        <v>13000.0</v>
      </c>
      <c r="L887" s="3" t="s">
        <v>106</v>
      </c>
      <c r="M887" s="3" t="str">
        <f t="shared" si="1"/>
        <v>Target Achieved</v>
      </c>
      <c r="N887" s="10">
        <f t="shared" si="2"/>
        <v>0.5517241379</v>
      </c>
      <c r="O887" s="11">
        <f t="shared" si="3"/>
        <v>0</v>
      </c>
      <c r="P887" s="12">
        <f t="shared" si="4"/>
        <v>13275</v>
      </c>
    </row>
    <row r="888" ht="12.75" customHeight="1">
      <c r="A888" s="3" t="s">
        <v>1226</v>
      </c>
      <c r="B888" s="3" t="s">
        <v>927</v>
      </c>
      <c r="C888" s="3" t="s">
        <v>76</v>
      </c>
      <c r="D888" s="3" t="s">
        <v>24</v>
      </c>
      <c r="E888" s="3" t="s">
        <v>46</v>
      </c>
      <c r="F888" s="3" t="s">
        <v>21</v>
      </c>
      <c r="G888" s="3" t="s">
        <v>12</v>
      </c>
      <c r="H888" s="3">
        <v>7514.0</v>
      </c>
      <c r="I888" s="3" t="s">
        <v>23</v>
      </c>
      <c r="J888" s="3">
        <v>0.2</v>
      </c>
      <c r="K888" s="3">
        <v>9000.0</v>
      </c>
      <c r="L888" s="15" t="s">
        <v>308</v>
      </c>
      <c r="M888" s="3" t="str">
        <f t="shared" si="1"/>
        <v>Below Target</v>
      </c>
      <c r="N888" s="10">
        <f t="shared" si="2"/>
        <v>0.547826087</v>
      </c>
      <c r="O888" s="11">
        <f t="shared" si="3"/>
        <v>0.2</v>
      </c>
      <c r="P888" s="12">
        <f t="shared" si="4"/>
        <v>6011.2</v>
      </c>
    </row>
    <row r="889" ht="12.75" customHeight="1">
      <c r="A889" s="3" t="s">
        <v>1227</v>
      </c>
      <c r="B889" s="3" t="s">
        <v>36</v>
      </c>
      <c r="C889" s="3" t="s">
        <v>18</v>
      </c>
      <c r="D889" s="3" t="s">
        <v>16</v>
      </c>
      <c r="E889" s="3" t="s">
        <v>46</v>
      </c>
      <c r="F889" s="3" t="s">
        <v>52</v>
      </c>
      <c r="G889" s="3" t="s">
        <v>11</v>
      </c>
      <c r="H889" s="3">
        <v>14694.0</v>
      </c>
      <c r="K889" s="3">
        <v>14000.0</v>
      </c>
      <c r="L889" s="15" t="s">
        <v>353</v>
      </c>
      <c r="M889" s="3" t="str">
        <f t="shared" si="1"/>
        <v>Target Achieved</v>
      </c>
      <c r="N889" s="10">
        <f t="shared" si="2"/>
        <v>0.5526315789</v>
      </c>
      <c r="O889" s="11">
        <f t="shared" si="3"/>
        <v>0</v>
      </c>
      <c r="P889" s="12">
        <f t="shared" si="4"/>
        <v>14694</v>
      </c>
    </row>
    <row r="890" ht="12.75" customHeight="1">
      <c r="A890" s="3" t="s">
        <v>1228</v>
      </c>
      <c r="B890" s="3" t="s">
        <v>943</v>
      </c>
      <c r="C890" s="3" t="s">
        <v>76</v>
      </c>
      <c r="D890" s="3" t="s">
        <v>24</v>
      </c>
      <c r="E890" s="3" t="s">
        <v>58</v>
      </c>
      <c r="F890" s="3" t="s">
        <v>52</v>
      </c>
      <c r="G890" s="3" t="s">
        <v>12</v>
      </c>
      <c r="H890" s="3">
        <v>10810.0</v>
      </c>
      <c r="K890" s="3">
        <v>9000.0</v>
      </c>
      <c r="L890" s="15" t="s">
        <v>322</v>
      </c>
      <c r="M890" s="3" t="str">
        <f t="shared" si="1"/>
        <v>Target Achieved</v>
      </c>
      <c r="N890" s="10">
        <f t="shared" si="2"/>
        <v>0.5486725664</v>
      </c>
      <c r="O890" s="11">
        <f t="shared" si="3"/>
        <v>0</v>
      </c>
      <c r="P890" s="12">
        <f t="shared" si="4"/>
        <v>10810</v>
      </c>
    </row>
    <row r="891" ht="12.75" customHeight="1">
      <c r="A891" s="3" t="s">
        <v>1229</v>
      </c>
      <c r="B891" s="3" t="s">
        <v>529</v>
      </c>
      <c r="C891" s="3" t="s">
        <v>76</v>
      </c>
      <c r="D891" s="3" t="s">
        <v>24</v>
      </c>
      <c r="E891" s="3" t="s">
        <v>20</v>
      </c>
      <c r="F891" s="3" t="s">
        <v>21</v>
      </c>
      <c r="G891" s="3" t="s">
        <v>11</v>
      </c>
      <c r="H891" s="3">
        <v>8455.0</v>
      </c>
      <c r="I891" s="3" t="s">
        <v>23</v>
      </c>
      <c r="J891" s="3">
        <v>0.2</v>
      </c>
      <c r="K891" s="3">
        <v>9000.0</v>
      </c>
      <c r="L891" s="15" t="s">
        <v>316</v>
      </c>
      <c r="M891" s="3" t="str">
        <f t="shared" si="1"/>
        <v>Below Target</v>
      </c>
      <c r="N891" s="10">
        <f t="shared" si="2"/>
        <v>0.5446428571</v>
      </c>
      <c r="O891" s="11">
        <f t="shared" si="3"/>
        <v>0.2</v>
      </c>
      <c r="P891" s="12">
        <f t="shared" si="4"/>
        <v>6764</v>
      </c>
    </row>
    <row r="892" ht="12.75" customHeight="1">
      <c r="A892" s="3" t="s">
        <v>1230</v>
      </c>
      <c r="B892" s="3" t="s">
        <v>717</v>
      </c>
      <c r="C892" s="3" t="s">
        <v>18</v>
      </c>
      <c r="D892" s="3" t="s">
        <v>16</v>
      </c>
      <c r="E892" s="3" t="s">
        <v>20</v>
      </c>
      <c r="F892" s="3" t="s">
        <v>21</v>
      </c>
      <c r="G892" s="3" t="s">
        <v>12</v>
      </c>
      <c r="H892" s="3">
        <v>12969.0</v>
      </c>
      <c r="I892" s="3" t="s">
        <v>42</v>
      </c>
      <c r="K892" s="3">
        <v>14000.0</v>
      </c>
      <c r="L892" s="3" t="s">
        <v>73</v>
      </c>
      <c r="M892" s="3" t="str">
        <f t="shared" si="1"/>
        <v>Below Target</v>
      </c>
      <c r="N892" s="10">
        <f t="shared" si="2"/>
        <v>0.5495495495</v>
      </c>
      <c r="O892" s="11" t="str">
        <f t="shared" si="3"/>
        <v/>
      </c>
      <c r="P892" s="12">
        <f t="shared" si="4"/>
        <v>11023.65</v>
      </c>
    </row>
    <row r="893" ht="12.75" customHeight="1">
      <c r="A893" s="3" t="s">
        <v>1231</v>
      </c>
      <c r="B893" s="3" t="s">
        <v>612</v>
      </c>
      <c r="C893" s="3" t="s">
        <v>45</v>
      </c>
      <c r="D893" s="3" t="s">
        <v>22</v>
      </c>
      <c r="E893" s="3" t="s">
        <v>46</v>
      </c>
      <c r="F893" s="3" t="s">
        <v>41</v>
      </c>
      <c r="G893" s="3" t="s">
        <v>12</v>
      </c>
      <c r="H893" s="3">
        <v>16979.0</v>
      </c>
      <c r="I893" s="3" t="s">
        <v>47</v>
      </c>
      <c r="J893" s="3">
        <v>0.3</v>
      </c>
      <c r="K893" s="3">
        <v>17000.0</v>
      </c>
      <c r="L893" s="15" t="s">
        <v>147</v>
      </c>
      <c r="M893" s="3" t="str">
        <f t="shared" si="1"/>
        <v>Below Target</v>
      </c>
      <c r="N893" s="10">
        <f t="shared" si="2"/>
        <v>0.5545454545</v>
      </c>
      <c r="O893" s="11">
        <f t="shared" si="3"/>
        <v>0.3</v>
      </c>
      <c r="P893" s="12">
        <f t="shared" si="4"/>
        <v>11885.3</v>
      </c>
    </row>
    <row r="894" ht="12.75" customHeight="1">
      <c r="A894" s="3" t="s">
        <v>1232</v>
      </c>
      <c r="B894" s="3" t="s">
        <v>455</v>
      </c>
      <c r="C894" s="3" t="s">
        <v>18</v>
      </c>
      <c r="D894" s="3" t="s">
        <v>16</v>
      </c>
      <c r="E894" s="3" t="s">
        <v>46</v>
      </c>
      <c r="F894" s="3" t="s">
        <v>52</v>
      </c>
      <c r="G894" s="3" t="s">
        <v>12</v>
      </c>
      <c r="H894" s="3">
        <v>14156.0</v>
      </c>
      <c r="I894" s="3" t="s">
        <v>47</v>
      </c>
      <c r="J894" s="3">
        <v>0.3</v>
      </c>
      <c r="K894" s="3">
        <v>14000.0</v>
      </c>
      <c r="L894" s="3" t="s">
        <v>345</v>
      </c>
      <c r="M894" s="3" t="str">
        <f t="shared" si="1"/>
        <v>Target Achieved</v>
      </c>
      <c r="N894" s="10">
        <f t="shared" si="2"/>
        <v>0.5596330275</v>
      </c>
      <c r="O894" s="11">
        <f t="shared" si="3"/>
        <v>0.3</v>
      </c>
      <c r="P894" s="12">
        <f t="shared" si="4"/>
        <v>9909.2</v>
      </c>
    </row>
    <row r="895" ht="12.75" customHeight="1">
      <c r="A895" s="3" t="s">
        <v>1233</v>
      </c>
      <c r="B895" s="3" t="s">
        <v>1005</v>
      </c>
      <c r="C895" s="3" t="s">
        <v>18</v>
      </c>
      <c r="D895" s="3" t="s">
        <v>16</v>
      </c>
      <c r="E895" s="3" t="s">
        <v>46</v>
      </c>
      <c r="F895" s="3" t="s">
        <v>21</v>
      </c>
      <c r="G895" s="3" t="s">
        <v>12</v>
      </c>
      <c r="H895" s="3">
        <v>15037.0</v>
      </c>
      <c r="I895" s="3" t="s">
        <v>37</v>
      </c>
      <c r="J895" s="3">
        <v>0.1</v>
      </c>
      <c r="K895" s="3">
        <v>14000.0</v>
      </c>
      <c r="L895" s="3" t="s">
        <v>238</v>
      </c>
      <c r="M895" s="3" t="str">
        <f t="shared" si="1"/>
        <v>Target Achieved</v>
      </c>
      <c r="N895" s="10">
        <f t="shared" si="2"/>
        <v>0.5555555556</v>
      </c>
      <c r="O895" s="11">
        <f t="shared" si="3"/>
        <v>0.1</v>
      </c>
      <c r="P895" s="12">
        <f t="shared" si="4"/>
        <v>13533.3</v>
      </c>
    </row>
    <row r="896" ht="12.75" customHeight="1">
      <c r="A896" s="3" t="s">
        <v>1234</v>
      </c>
      <c r="B896" s="3" t="s">
        <v>516</v>
      </c>
      <c r="C896" s="3" t="s">
        <v>45</v>
      </c>
      <c r="D896" s="3" t="s">
        <v>22</v>
      </c>
      <c r="E896" s="3" t="s">
        <v>20</v>
      </c>
      <c r="F896" s="3" t="s">
        <v>41</v>
      </c>
      <c r="G896" s="3" t="s">
        <v>11</v>
      </c>
      <c r="H896" s="3">
        <v>17191.0</v>
      </c>
      <c r="I896" s="3" t="s">
        <v>37</v>
      </c>
      <c r="J896" s="3">
        <v>0.1</v>
      </c>
      <c r="K896" s="3">
        <v>17000.0</v>
      </c>
      <c r="L896" s="3" t="s">
        <v>283</v>
      </c>
      <c r="M896" s="3" t="str">
        <f t="shared" si="1"/>
        <v>Target Achieved</v>
      </c>
      <c r="N896" s="10">
        <f t="shared" si="2"/>
        <v>0.5514018692</v>
      </c>
      <c r="O896" s="11">
        <f t="shared" si="3"/>
        <v>0.1</v>
      </c>
      <c r="P896" s="12">
        <f t="shared" si="4"/>
        <v>15471.9</v>
      </c>
    </row>
    <row r="897" ht="12.75" customHeight="1">
      <c r="A897" s="3" t="s">
        <v>1235</v>
      </c>
      <c r="B897" s="3" t="s">
        <v>427</v>
      </c>
      <c r="C897" s="3" t="s">
        <v>76</v>
      </c>
      <c r="D897" s="3" t="s">
        <v>24</v>
      </c>
      <c r="E897" s="3" t="s">
        <v>20</v>
      </c>
      <c r="F897" s="3" t="s">
        <v>52</v>
      </c>
      <c r="G897" s="3" t="s">
        <v>11</v>
      </c>
      <c r="H897" s="3">
        <v>8724.0</v>
      </c>
      <c r="I897" s="3" t="s">
        <v>47</v>
      </c>
      <c r="J897" s="3">
        <v>0.3</v>
      </c>
      <c r="K897" s="3">
        <v>9000.0</v>
      </c>
      <c r="L897" s="3" t="s">
        <v>330</v>
      </c>
      <c r="M897" s="3" t="str">
        <f t="shared" si="1"/>
        <v>Below Target</v>
      </c>
      <c r="N897" s="10">
        <f t="shared" si="2"/>
        <v>0.5471698113</v>
      </c>
      <c r="O897" s="11">
        <f t="shared" si="3"/>
        <v>0.3</v>
      </c>
      <c r="P897" s="12">
        <f t="shared" si="4"/>
        <v>6106.8</v>
      </c>
    </row>
    <row r="898" ht="12.75" customHeight="1">
      <c r="A898" s="3" t="s">
        <v>1236</v>
      </c>
      <c r="B898" s="3" t="s">
        <v>461</v>
      </c>
      <c r="C898" s="3" t="s">
        <v>57</v>
      </c>
      <c r="D898" s="3" t="s">
        <v>19</v>
      </c>
      <c r="E898" s="3" t="s">
        <v>46</v>
      </c>
      <c r="F898" s="3" t="s">
        <v>52</v>
      </c>
      <c r="G898" s="3" t="s">
        <v>12</v>
      </c>
      <c r="H898" s="3">
        <v>14069.0</v>
      </c>
      <c r="I898" s="3" t="s">
        <v>47</v>
      </c>
      <c r="J898" s="3">
        <v>0.3</v>
      </c>
      <c r="K898" s="3">
        <v>13000.0</v>
      </c>
      <c r="L898" s="3" t="s">
        <v>319</v>
      </c>
      <c r="M898" s="3" t="str">
        <f t="shared" si="1"/>
        <v>Target Achieved</v>
      </c>
      <c r="N898" s="10">
        <f t="shared" si="2"/>
        <v>0.5523809524</v>
      </c>
      <c r="O898" s="11">
        <f t="shared" si="3"/>
        <v>0.3</v>
      </c>
      <c r="P898" s="12">
        <f t="shared" si="4"/>
        <v>9848.3</v>
      </c>
    </row>
    <row r="899" ht="12.75" customHeight="1">
      <c r="A899" s="3" t="s">
        <v>1237</v>
      </c>
      <c r="B899" s="3" t="s">
        <v>622</v>
      </c>
      <c r="C899" s="3" t="s">
        <v>45</v>
      </c>
      <c r="D899" s="3" t="s">
        <v>22</v>
      </c>
      <c r="E899" s="3" t="s">
        <v>46</v>
      </c>
      <c r="F899" s="3" t="s">
        <v>52</v>
      </c>
      <c r="G899" s="3" t="s">
        <v>11</v>
      </c>
      <c r="H899" s="3">
        <v>17368.0</v>
      </c>
      <c r="I899" s="3" t="s">
        <v>23</v>
      </c>
      <c r="J899" s="3">
        <v>0.2</v>
      </c>
      <c r="K899" s="3">
        <v>17000.0</v>
      </c>
      <c r="L899" s="15" t="s">
        <v>352</v>
      </c>
      <c r="M899" s="3" t="str">
        <f t="shared" si="1"/>
        <v>Target Achieved</v>
      </c>
      <c r="N899" s="10">
        <f t="shared" si="2"/>
        <v>0.5480769231</v>
      </c>
      <c r="O899" s="11">
        <f t="shared" si="3"/>
        <v>0.2</v>
      </c>
      <c r="P899" s="12">
        <f t="shared" si="4"/>
        <v>13894.4</v>
      </c>
    </row>
    <row r="900" ht="12.75" customHeight="1">
      <c r="A900" s="3" t="s">
        <v>1238</v>
      </c>
      <c r="B900" s="3" t="s">
        <v>85</v>
      </c>
      <c r="C900" s="3" t="s">
        <v>45</v>
      </c>
      <c r="D900" s="3" t="s">
        <v>22</v>
      </c>
      <c r="E900" s="3" t="s">
        <v>20</v>
      </c>
      <c r="F900" s="3" t="s">
        <v>52</v>
      </c>
      <c r="G900" s="3" t="s">
        <v>13</v>
      </c>
      <c r="H900" s="3">
        <v>16174.0</v>
      </c>
      <c r="K900" s="3">
        <v>17000.0</v>
      </c>
      <c r="L900" s="15" t="s">
        <v>123</v>
      </c>
      <c r="M900" s="3" t="str">
        <f t="shared" si="1"/>
        <v>Below Target</v>
      </c>
      <c r="N900" s="10">
        <f t="shared" si="2"/>
        <v>0.5436893204</v>
      </c>
      <c r="O900" s="11">
        <f t="shared" si="3"/>
        <v>0</v>
      </c>
      <c r="P900" s="12">
        <f t="shared" si="4"/>
        <v>16174</v>
      </c>
    </row>
    <row r="901" ht="12.75" customHeight="1">
      <c r="A901" s="3" t="s">
        <v>1239</v>
      </c>
      <c r="B901" s="3" t="s">
        <v>540</v>
      </c>
      <c r="C901" s="3" t="s">
        <v>18</v>
      </c>
      <c r="D901" s="3" t="s">
        <v>16</v>
      </c>
      <c r="E901" s="3" t="s">
        <v>58</v>
      </c>
      <c r="F901" s="3" t="s">
        <v>21</v>
      </c>
      <c r="G901" s="3" t="s">
        <v>13</v>
      </c>
      <c r="H901" s="3">
        <v>14522.0</v>
      </c>
      <c r="I901" s="3" t="s">
        <v>47</v>
      </c>
      <c r="J901" s="3">
        <v>0.3</v>
      </c>
      <c r="K901" s="3">
        <v>14000.0</v>
      </c>
      <c r="L901" s="3" t="s">
        <v>73</v>
      </c>
      <c r="M901" s="3" t="str">
        <f t="shared" si="1"/>
        <v>Target Achieved</v>
      </c>
      <c r="N901" s="10">
        <f t="shared" si="2"/>
        <v>0.5490196078</v>
      </c>
      <c r="O901" s="11">
        <f t="shared" si="3"/>
        <v>0.3</v>
      </c>
      <c r="P901" s="12">
        <f t="shared" si="4"/>
        <v>10165.4</v>
      </c>
    </row>
    <row r="902" ht="12.75" customHeight="1">
      <c r="A902" s="3" t="s">
        <v>1240</v>
      </c>
      <c r="B902" s="3" t="s">
        <v>743</v>
      </c>
      <c r="C902" s="3" t="s">
        <v>18</v>
      </c>
      <c r="D902" s="3" t="s">
        <v>16</v>
      </c>
      <c r="E902" s="3" t="s">
        <v>20</v>
      </c>
      <c r="F902" s="3" t="s">
        <v>41</v>
      </c>
      <c r="G902" s="3" t="s">
        <v>12</v>
      </c>
      <c r="H902" s="3">
        <v>12715.0</v>
      </c>
      <c r="I902" s="3" t="s">
        <v>42</v>
      </c>
      <c r="K902" s="3">
        <v>14000.0</v>
      </c>
      <c r="L902" s="3" t="s">
        <v>38</v>
      </c>
      <c r="M902" s="3" t="str">
        <f t="shared" si="1"/>
        <v>Below Target</v>
      </c>
      <c r="N902" s="10">
        <f t="shared" si="2"/>
        <v>0.5445544554</v>
      </c>
      <c r="O902" s="11" t="str">
        <f t="shared" si="3"/>
        <v/>
      </c>
      <c r="P902" s="12">
        <f t="shared" si="4"/>
        <v>10807.75</v>
      </c>
    </row>
    <row r="903" ht="12.75" customHeight="1">
      <c r="A903" s="3" t="s">
        <v>1241</v>
      </c>
      <c r="B903" s="3" t="s">
        <v>148</v>
      </c>
      <c r="C903" s="3" t="s">
        <v>76</v>
      </c>
      <c r="D903" s="3" t="s">
        <v>24</v>
      </c>
      <c r="E903" s="3" t="s">
        <v>58</v>
      </c>
      <c r="F903" s="3" t="s">
        <v>41</v>
      </c>
      <c r="G903" s="3" t="s">
        <v>11</v>
      </c>
      <c r="H903" s="3">
        <v>10205.0</v>
      </c>
      <c r="I903" s="3" t="s">
        <v>23</v>
      </c>
      <c r="J903" s="3">
        <v>0.2</v>
      </c>
      <c r="K903" s="3">
        <v>9000.0</v>
      </c>
      <c r="L903" s="15" t="s">
        <v>177</v>
      </c>
      <c r="M903" s="3" t="str">
        <f t="shared" si="1"/>
        <v>Target Achieved</v>
      </c>
      <c r="N903" s="10">
        <f t="shared" si="2"/>
        <v>0.55</v>
      </c>
      <c r="O903" s="11">
        <f t="shared" si="3"/>
        <v>0.2</v>
      </c>
      <c r="P903" s="12">
        <f t="shared" si="4"/>
        <v>8164</v>
      </c>
    </row>
    <row r="904" ht="12.75" customHeight="1">
      <c r="A904" s="3" t="s">
        <v>1242</v>
      </c>
      <c r="B904" s="3" t="s">
        <v>174</v>
      </c>
      <c r="C904" s="3" t="s">
        <v>18</v>
      </c>
      <c r="D904" s="3" t="s">
        <v>16</v>
      </c>
      <c r="E904" s="3" t="s">
        <v>58</v>
      </c>
      <c r="F904" s="3" t="s">
        <v>41</v>
      </c>
      <c r="G904" s="3" t="s">
        <v>13</v>
      </c>
      <c r="H904" s="3">
        <v>14439.0</v>
      </c>
      <c r="I904" s="3" t="s">
        <v>23</v>
      </c>
      <c r="J904" s="3">
        <v>0.2</v>
      </c>
      <c r="K904" s="3">
        <v>14000.0</v>
      </c>
      <c r="L904" s="3" t="s">
        <v>106</v>
      </c>
      <c r="M904" s="3" t="str">
        <f t="shared" si="1"/>
        <v>Target Achieved</v>
      </c>
      <c r="N904" s="10">
        <f t="shared" si="2"/>
        <v>0.5454545455</v>
      </c>
      <c r="O904" s="11">
        <f t="shared" si="3"/>
        <v>0.2</v>
      </c>
      <c r="P904" s="12">
        <f t="shared" si="4"/>
        <v>11551.2</v>
      </c>
    </row>
    <row r="905" ht="12.75" customHeight="1">
      <c r="A905" s="3" t="s">
        <v>1243</v>
      </c>
      <c r="B905" s="3" t="s">
        <v>200</v>
      </c>
      <c r="C905" s="3" t="s">
        <v>76</v>
      </c>
      <c r="D905" s="3" t="s">
        <v>24</v>
      </c>
      <c r="E905" s="3" t="s">
        <v>58</v>
      </c>
      <c r="F905" s="3" t="s">
        <v>41</v>
      </c>
      <c r="G905" s="3" t="s">
        <v>12</v>
      </c>
      <c r="H905" s="3">
        <v>8802.0</v>
      </c>
      <c r="I905" s="3" t="s">
        <v>23</v>
      </c>
      <c r="J905" s="3">
        <v>0.2</v>
      </c>
      <c r="K905" s="3">
        <v>9000.0</v>
      </c>
      <c r="L905" s="3" t="s">
        <v>65</v>
      </c>
      <c r="M905" s="3" t="str">
        <f t="shared" si="1"/>
        <v>Below Target</v>
      </c>
      <c r="N905" s="10">
        <f t="shared" si="2"/>
        <v>0.5408163265</v>
      </c>
      <c r="O905" s="11">
        <f t="shared" si="3"/>
        <v>0.2</v>
      </c>
      <c r="P905" s="12">
        <f t="shared" si="4"/>
        <v>7041.6</v>
      </c>
    </row>
    <row r="906" ht="12.75" customHeight="1">
      <c r="A906" s="3" t="s">
        <v>1244</v>
      </c>
      <c r="B906" s="3" t="s">
        <v>292</v>
      </c>
      <c r="C906" s="3" t="s">
        <v>45</v>
      </c>
      <c r="D906" s="3" t="s">
        <v>22</v>
      </c>
      <c r="E906" s="3" t="s">
        <v>46</v>
      </c>
      <c r="F906" s="3" t="s">
        <v>52</v>
      </c>
      <c r="G906" s="3" t="s">
        <v>11</v>
      </c>
      <c r="H906" s="3">
        <v>18094.0</v>
      </c>
      <c r="I906" s="3" t="s">
        <v>37</v>
      </c>
      <c r="J906" s="3">
        <v>0.1</v>
      </c>
      <c r="K906" s="3">
        <v>17000.0</v>
      </c>
      <c r="L906" s="15" t="s">
        <v>347</v>
      </c>
      <c r="M906" s="3" t="str">
        <f t="shared" si="1"/>
        <v>Target Achieved</v>
      </c>
      <c r="N906" s="10">
        <f t="shared" si="2"/>
        <v>0.5463917526</v>
      </c>
      <c r="O906" s="11">
        <f t="shared" si="3"/>
        <v>0.1</v>
      </c>
      <c r="P906" s="12">
        <f t="shared" si="4"/>
        <v>16284.6</v>
      </c>
    </row>
    <row r="907" ht="12.75" customHeight="1">
      <c r="A907" s="3" t="s">
        <v>1245</v>
      </c>
      <c r="B907" s="3" t="s">
        <v>529</v>
      </c>
      <c r="C907" s="3" t="s">
        <v>76</v>
      </c>
      <c r="D907" s="3" t="s">
        <v>24</v>
      </c>
      <c r="E907" s="3" t="s">
        <v>58</v>
      </c>
      <c r="F907" s="3" t="s">
        <v>21</v>
      </c>
      <c r="G907" s="3" t="s">
        <v>11</v>
      </c>
      <c r="H907" s="3">
        <v>10056.0</v>
      </c>
      <c r="I907" s="3" t="s">
        <v>42</v>
      </c>
      <c r="K907" s="3">
        <v>9000.0</v>
      </c>
      <c r="L907" s="3" t="s">
        <v>221</v>
      </c>
      <c r="M907" s="3" t="str">
        <f t="shared" si="1"/>
        <v>Target Achieved</v>
      </c>
      <c r="N907" s="10">
        <f t="shared" si="2"/>
        <v>0.5416666667</v>
      </c>
      <c r="O907" s="11" t="str">
        <f t="shared" si="3"/>
        <v/>
      </c>
      <c r="P907" s="12">
        <f t="shared" si="4"/>
        <v>8547.6</v>
      </c>
    </row>
    <row r="908" ht="12.75" customHeight="1">
      <c r="A908" s="3" t="s">
        <v>1246</v>
      </c>
      <c r="B908" s="3" t="s">
        <v>366</v>
      </c>
      <c r="C908" s="3" t="s">
        <v>76</v>
      </c>
      <c r="D908" s="3" t="s">
        <v>24</v>
      </c>
      <c r="E908" s="3" t="s">
        <v>58</v>
      </c>
      <c r="F908" s="3" t="s">
        <v>21</v>
      </c>
      <c r="G908" s="3" t="s">
        <v>13</v>
      </c>
      <c r="H908" s="3">
        <v>9172.0</v>
      </c>
      <c r="K908" s="3">
        <v>9000.0</v>
      </c>
      <c r="L908" s="15" t="s">
        <v>308</v>
      </c>
      <c r="M908" s="3" t="str">
        <f t="shared" si="1"/>
        <v>Target Achieved</v>
      </c>
      <c r="N908" s="10">
        <f t="shared" si="2"/>
        <v>0.5368421053</v>
      </c>
      <c r="O908" s="11">
        <f t="shared" si="3"/>
        <v>0</v>
      </c>
      <c r="P908" s="12">
        <f t="shared" si="4"/>
        <v>9172</v>
      </c>
    </row>
    <row r="909" ht="12.75" customHeight="1">
      <c r="A909" s="3" t="s">
        <v>1247</v>
      </c>
      <c r="B909" s="3" t="s">
        <v>543</v>
      </c>
      <c r="C909" s="3" t="s">
        <v>76</v>
      </c>
      <c r="D909" s="3" t="s">
        <v>24</v>
      </c>
      <c r="E909" s="3" t="s">
        <v>58</v>
      </c>
      <c r="F909" s="3" t="s">
        <v>52</v>
      </c>
      <c r="G909" s="3" t="s">
        <v>11</v>
      </c>
      <c r="H909" s="3">
        <v>10939.0</v>
      </c>
      <c r="I909" s="3" t="s">
        <v>42</v>
      </c>
      <c r="K909" s="3">
        <v>9000.0</v>
      </c>
      <c r="L909" s="3" t="s">
        <v>238</v>
      </c>
      <c r="M909" s="3" t="str">
        <f t="shared" si="1"/>
        <v>Target Achieved</v>
      </c>
      <c r="N909" s="10">
        <f t="shared" si="2"/>
        <v>0.5319148936</v>
      </c>
      <c r="O909" s="11" t="str">
        <f t="shared" si="3"/>
        <v/>
      </c>
      <c r="P909" s="12">
        <f t="shared" si="4"/>
        <v>9298.15</v>
      </c>
    </row>
    <row r="910" ht="12.75" customHeight="1">
      <c r="A910" s="3" t="s">
        <v>1248</v>
      </c>
      <c r="B910" s="3" t="s">
        <v>100</v>
      </c>
      <c r="C910" s="3" t="s">
        <v>45</v>
      </c>
      <c r="D910" s="3" t="s">
        <v>22</v>
      </c>
      <c r="E910" s="3" t="s">
        <v>58</v>
      </c>
      <c r="F910" s="3" t="s">
        <v>52</v>
      </c>
      <c r="G910" s="3" t="s">
        <v>12</v>
      </c>
      <c r="H910" s="3">
        <v>18515.0</v>
      </c>
      <c r="I910" s="3" t="s">
        <v>47</v>
      </c>
      <c r="J910" s="3">
        <v>0.3</v>
      </c>
      <c r="K910" s="3">
        <v>17000.0</v>
      </c>
      <c r="L910" s="3" t="s">
        <v>332</v>
      </c>
      <c r="M910" s="3" t="str">
        <f t="shared" si="1"/>
        <v>Target Achieved</v>
      </c>
      <c r="N910" s="10">
        <f t="shared" si="2"/>
        <v>0.5268817204</v>
      </c>
      <c r="O910" s="11">
        <f t="shared" si="3"/>
        <v>0.3</v>
      </c>
      <c r="P910" s="12">
        <f t="shared" si="4"/>
        <v>12960.5</v>
      </c>
    </row>
    <row r="911" ht="12.75" customHeight="1">
      <c r="A911" s="3" t="s">
        <v>1249</v>
      </c>
      <c r="B911" s="3" t="s">
        <v>461</v>
      </c>
      <c r="C911" s="3" t="s">
        <v>18</v>
      </c>
      <c r="D911" s="3" t="s">
        <v>16</v>
      </c>
      <c r="E911" s="3" t="s">
        <v>58</v>
      </c>
      <c r="F911" s="3" t="s">
        <v>52</v>
      </c>
      <c r="G911" s="3" t="s">
        <v>12</v>
      </c>
      <c r="H911" s="3">
        <v>13602.0</v>
      </c>
      <c r="K911" s="3">
        <v>14000.0</v>
      </c>
      <c r="L911" s="3" t="s">
        <v>324</v>
      </c>
      <c r="M911" s="3" t="str">
        <f t="shared" si="1"/>
        <v>Below Target</v>
      </c>
      <c r="N911" s="10">
        <f t="shared" si="2"/>
        <v>0.5217391304</v>
      </c>
      <c r="O911" s="11">
        <f t="shared" si="3"/>
        <v>0</v>
      </c>
      <c r="P911" s="12">
        <f t="shared" si="4"/>
        <v>13602</v>
      </c>
    </row>
    <row r="912" ht="12.75" customHeight="1">
      <c r="A912" s="3" t="s">
        <v>1250</v>
      </c>
      <c r="B912" s="3" t="s">
        <v>400</v>
      </c>
      <c r="C912" s="3" t="s">
        <v>57</v>
      </c>
      <c r="D912" s="3" t="s">
        <v>19</v>
      </c>
      <c r="E912" s="3" t="s">
        <v>20</v>
      </c>
      <c r="F912" s="3" t="s">
        <v>52</v>
      </c>
      <c r="G912" s="3" t="s">
        <v>12</v>
      </c>
      <c r="H912" s="3">
        <v>14155.0</v>
      </c>
      <c r="I912" s="3" t="s">
        <v>23</v>
      </c>
      <c r="J912" s="3">
        <v>0.2</v>
      </c>
      <c r="K912" s="3">
        <v>13000.0</v>
      </c>
      <c r="L912" s="15" t="s">
        <v>344</v>
      </c>
      <c r="M912" s="3" t="str">
        <f t="shared" si="1"/>
        <v>Target Achieved</v>
      </c>
      <c r="N912" s="10">
        <f t="shared" si="2"/>
        <v>0.5274725275</v>
      </c>
      <c r="O912" s="11">
        <f t="shared" si="3"/>
        <v>0.2</v>
      </c>
      <c r="P912" s="12">
        <f t="shared" si="4"/>
        <v>11324</v>
      </c>
    </row>
    <row r="913" ht="12.75" customHeight="1">
      <c r="A913" s="3" t="s">
        <v>1251</v>
      </c>
      <c r="B913" s="3" t="s">
        <v>192</v>
      </c>
      <c r="C913" s="3" t="s">
        <v>57</v>
      </c>
      <c r="D913" s="3" t="s">
        <v>19</v>
      </c>
      <c r="E913" s="3" t="s">
        <v>58</v>
      </c>
      <c r="F913" s="3" t="s">
        <v>52</v>
      </c>
      <c r="G913" s="3" t="s">
        <v>13</v>
      </c>
      <c r="H913" s="3">
        <v>13755.0</v>
      </c>
      <c r="I913" s="3" t="s">
        <v>37</v>
      </c>
      <c r="J913" s="3">
        <v>0.1</v>
      </c>
      <c r="K913" s="3">
        <v>13000.0</v>
      </c>
      <c r="L913" s="3" t="s">
        <v>106</v>
      </c>
      <c r="M913" s="3" t="str">
        <f t="shared" si="1"/>
        <v>Target Achieved</v>
      </c>
      <c r="N913" s="10">
        <f t="shared" si="2"/>
        <v>0.5222222222</v>
      </c>
      <c r="O913" s="11">
        <f t="shared" si="3"/>
        <v>0.1</v>
      </c>
      <c r="P913" s="12">
        <f t="shared" si="4"/>
        <v>12379.5</v>
      </c>
    </row>
    <row r="914" ht="12.75" customHeight="1">
      <c r="A914" s="3" t="s">
        <v>1252</v>
      </c>
      <c r="B914" s="3" t="s">
        <v>56</v>
      </c>
      <c r="C914" s="3" t="s">
        <v>76</v>
      </c>
      <c r="D914" s="3" t="s">
        <v>24</v>
      </c>
      <c r="E914" s="3" t="s">
        <v>46</v>
      </c>
      <c r="F914" s="3" t="s">
        <v>52</v>
      </c>
      <c r="G914" s="3" t="s">
        <v>13</v>
      </c>
      <c r="H914" s="3">
        <v>9807.0</v>
      </c>
      <c r="K914" s="3">
        <v>9000.0</v>
      </c>
      <c r="L914" s="3" t="s">
        <v>334</v>
      </c>
      <c r="M914" s="3" t="str">
        <f t="shared" si="1"/>
        <v>Target Achieved</v>
      </c>
      <c r="N914" s="10">
        <f t="shared" si="2"/>
        <v>0.5168539326</v>
      </c>
      <c r="O914" s="11">
        <f t="shared" si="3"/>
        <v>0</v>
      </c>
      <c r="P914" s="12">
        <f t="shared" si="4"/>
        <v>9807</v>
      </c>
    </row>
    <row r="915" ht="12.75" customHeight="1">
      <c r="A915" s="3" t="s">
        <v>1253</v>
      </c>
      <c r="B915" s="3" t="s">
        <v>278</v>
      </c>
      <c r="C915" s="3" t="s">
        <v>45</v>
      </c>
      <c r="D915" s="3" t="s">
        <v>22</v>
      </c>
      <c r="E915" s="3" t="s">
        <v>58</v>
      </c>
      <c r="F915" s="3" t="s">
        <v>41</v>
      </c>
      <c r="G915" s="3" t="s">
        <v>13</v>
      </c>
      <c r="H915" s="3">
        <v>15097.0</v>
      </c>
      <c r="I915" s="3" t="s">
        <v>42</v>
      </c>
      <c r="K915" s="3">
        <v>17000.0</v>
      </c>
      <c r="L915" s="15" t="s">
        <v>123</v>
      </c>
      <c r="M915" s="3" t="str">
        <f t="shared" si="1"/>
        <v>Below Target</v>
      </c>
      <c r="N915" s="10">
        <f t="shared" si="2"/>
        <v>0.5113636364</v>
      </c>
      <c r="O915" s="11" t="str">
        <f t="shared" si="3"/>
        <v/>
      </c>
      <c r="P915" s="12">
        <f t="shared" si="4"/>
        <v>12832.45</v>
      </c>
    </row>
    <row r="916" ht="12.75" customHeight="1">
      <c r="A916" s="3" t="s">
        <v>1254</v>
      </c>
      <c r="B916" s="3" t="s">
        <v>143</v>
      </c>
      <c r="C916" s="3" t="s">
        <v>57</v>
      </c>
      <c r="D916" s="3" t="s">
        <v>19</v>
      </c>
      <c r="E916" s="3" t="s">
        <v>20</v>
      </c>
      <c r="F916" s="3" t="s">
        <v>52</v>
      </c>
      <c r="G916" s="3" t="s">
        <v>13</v>
      </c>
      <c r="H916" s="3">
        <v>13900.0</v>
      </c>
      <c r="I916" s="3" t="s">
        <v>37</v>
      </c>
      <c r="J916" s="3">
        <v>0.1</v>
      </c>
      <c r="K916" s="3">
        <v>13000.0</v>
      </c>
      <c r="L916" s="15" t="s">
        <v>123</v>
      </c>
      <c r="M916" s="3" t="str">
        <f t="shared" si="1"/>
        <v>Target Achieved</v>
      </c>
      <c r="N916" s="10">
        <f t="shared" si="2"/>
        <v>0.5172413793</v>
      </c>
      <c r="O916" s="11">
        <f t="shared" si="3"/>
        <v>0.1</v>
      </c>
      <c r="P916" s="12">
        <f t="shared" si="4"/>
        <v>12510</v>
      </c>
    </row>
    <row r="917" ht="12.75" customHeight="1">
      <c r="A917" s="3" t="s">
        <v>1255</v>
      </c>
      <c r="B917" s="3" t="s">
        <v>560</v>
      </c>
      <c r="C917" s="3" t="s">
        <v>57</v>
      </c>
      <c r="D917" s="3" t="s">
        <v>19</v>
      </c>
      <c r="E917" s="3" t="s">
        <v>58</v>
      </c>
      <c r="F917" s="3" t="s">
        <v>52</v>
      </c>
      <c r="G917" s="3" t="s">
        <v>12</v>
      </c>
      <c r="H917" s="3">
        <v>13318.0</v>
      </c>
      <c r="I917" s="3" t="s">
        <v>23</v>
      </c>
      <c r="J917" s="3">
        <v>0.2</v>
      </c>
      <c r="K917" s="3">
        <v>13000.0</v>
      </c>
      <c r="L917" s="3" t="s">
        <v>338</v>
      </c>
      <c r="M917" s="3" t="str">
        <f t="shared" si="1"/>
        <v>Target Achieved</v>
      </c>
      <c r="N917" s="10">
        <f t="shared" si="2"/>
        <v>0.511627907</v>
      </c>
      <c r="O917" s="11">
        <f t="shared" si="3"/>
        <v>0.2</v>
      </c>
      <c r="P917" s="12">
        <f t="shared" si="4"/>
        <v>10654.4</v>
      </c>
    </row>
    <row r="918" ht="12.75" customHeight="1">
      <c r="A918" s="3" t="s">
        <v>1256</v>
      </c>
      <c r="B918" s="3" t="s">
        <v>220</v>
      </c>
      <c r="C918" s="3" t="s">
        <v>57</v>
      </c>
      <c r="D918" s="3" t="s">
        <v>19</v>
      </c>
      <c r="E918" s="3" t="s">
        <v>58</v>
      </c>
      <c r="F918" s="3" t="s">
        <v>21</v>
      </c>
      <c r="G918" s="3" t="s">
        <v>11</v>
      </c>
      <c r="H918" s="3">
        <v>13705.0</v>
      </c>
      <c r="I918" s="3" t="s">
        <v>37</v>
      </c>
      <c r="J918" s="3">
        <v>0.1</v>
      </c>
      <c r="K918" s="3">
        <v>13000.0</v>
      </c>
      <c r="L918" s="15" t="s">
        <v>312</v>
      </c>
      <c r="M918" s="3" t="str">
        <f t="shared" si="1"/>
        <v>Target Achieved</v>
      </c>
      <c r="N918" s="10">
        <f t="shared" si="2"/>
        <v>0.5058823529</v>
      </c>
      <c r="O918" s="11">
        <f t="shared" si="3"/>
        <v>0.1</v>
      </c>
      <c r="P918" s="12">
        <f t="shared" si="4"/>
        <v>12334.5</v>
      </c>
    </row>
    <row r="919" ht="12.75" customHeight="1">
      <c r="A919" s="3" t="s">
        <v>1257</v>
      </c>
      <c r="B919" s="3" t="s">
        <v>160</v>
      </c>
      <c r="C919" s="3" t="s">
        <v>76</v>
      </c>
      <c r="D919" s="3" t="s">
        <v>24</v>
      </c>
      <c r="E919" s="3" t="s">
        <v>20</v>
      </c>
      <c r="F919" s="3" t="s">
        <v>52</v>
      </c>
      <c r="G919" s="3" t="s">
        <v>11</v>
      </c>
      <c r="H919" s="3">
        <v>8054.0</v>
      </c>
      <c r="I919" s="3" t="s">
        <v>23</v>
      </c>
      <c r="J919" s="3">
        <v>0.2</v>
      </c>
      <c r="K919" s="3">
        <v>9000.0</v>
      </c>
      <c r="L919" s="3" t="s">
        <v>324</v>
      </c>
      <c r="M919" s="3" t="str">
        <f t="shared" si="1"/>
        <v>Below Target</v>
      </c>
      <c r="N919" s="10">
        <f t="shared" si="2"/>
        <v>0.5</v>
      </c>
      <c r="O919" s="11">
        <f t="shared" si="3"/>
        <v>0.2</v>
      </c>
      <c r="P919" s="12">
        <f t="shared" si="4"/>
        <v>6443.2</v>
      </c>
    </row>
    <row r="920" ht="12.75" customHeight="1">
      <c r="A920" s="3" t="s">
        <v>1258</v>
      </c>
      <c r="B920" s="3" t="s">
        <v>351</v>
      </c>
      <c r="C920" s="3" t="s">
        <v>18</v>
      </c>
      <c r="D920" s="3" t="s">
        <v>16</v>
      </c>
      <c r="E920" s="3" t="s">
        <v>58</v>
      </c>
      <c r="F920" s="3" t="s">
        <v>21</v>
      </c>
      <c r="G920" s="3" t="s">
        <v>11</v>
      </c>
      <c r="H920" s="3">
        <v>12246.0</v>
      </c>
      <c r="I920" s="3" t="s">
        <v>47</v>
      </c>
      <c r="J920" s="3">
        <v>0.3</v>
      </c>
      <c r="K920" s="3">
        <v>14000.0</v>
      </c>
      <c r="L920" s="3" t="s">
        <v>333</v>
      </c>
      <c r="M920" s="3" t="str">
        <f t="shared" si="1"/>
        <v>Below Target</v>
      </c>
      <c r="N920" s="10">
        <f t="shared" si="2"/>
        <v>0.5060240964</v>
      </c>
      <c r="O920" s="11">
        <f t="shared" si="3"/>
        <v>0.3</v>
      </c>
      <c r="P920" s="12">
        <f t="shared" si="4"/>
        <v>8572.2</v>
      </c>
    </row>
    <row r="921" ht="12.75" customHeight="1">
      <c r="A921" s="3" t="s">
        <v>1259</v>
      </c>
      <c r="B921" s="3" t="s">
        <v>72</v>
      </c>
      <c r="C921" s="3" t="s">
        <v>76</v>
      </c>
      <c r="D921" s="3" t="s">
        <v>24</v>
      </c>
      <c r="E921" s="3" t="s">
        <v>46</v>
      </c>
      <c r="F921" s="3" t="s">
        <v>21</v>
      </c>
      <c r="G921" s="3" t="s">
        <v>13</v>
      </c>
      <c r="H921" s="3">
        <v>9499.0</v>
      </c>
      <c r="K921" s="3">
        <v>9000.0</v>
      </c>
      <c r="L921" s="15" t="s">
        <v>316</v>
      </c>
      <c r="M921" s="3" t="str">
        <f t="shared" si="1"/>
        <v>Target Achieved</v>
      </c>
      <c r="N921" s="10">
        <f t="shared" si="2"/>
        <v>0.512195122</v>
      </c>
      <c r="O921" s="11">
        <f t="shared" si="3"/>
        <v>0</v>
      </c>
      <c r="P921" s="12">
        <f t="shared" si="4"/>
        <v>9499</v>
      </c>
    </row>
    <row r="922" ht="12.75" customHeight="1">
      <c r="A922" s="3" t="s">
        <v>1260</v>
      </c>
      <c r="B922" s="3" t="s">
        <v>691</v>
      </c>
      <c r="C922" s="3" t="s">
        <v>18</v>
      </c>
      <c r="D922" s="3" t="s">
        <v>16</v>
      </c>
      <c r="E922" s="3" t="s">
        <v>46</v>
      </c>
      <c r="F922" s="3" t="s">
        <v>52</v>
      </c>
      <c r="G922" s="3" t="s">
        <v>11</v>
      </c>
      <c r="H922" s="3">
        <v>12894.0</v>
      </c>
      <c r="I922" s="3" t="s">
        <v>42</v>
      </c>
      <c r="K922" s="3">
        <v>14000.0</v>
      </c>
      <c r="L922" s="15" t="s">
        <v>313</v>
      </c>
      <c r="M922" s="3" t="str">
        <f t="shared" si="1"/>
        <v>Below Target</v>
      </c>
      <c r="N922" s="10">
        <f t="shared" si="2"/>
        <v>0.5061728395</v>
      </c>
      <c r="O922" s="11" t="str">
        <f t="shared" si="3"/>
        <v/>
      </c>
      <c r="P922" s="12">
        <f t="shared" si="4"/>
        <v>10959.9</v>
      </c>
    </row>
    <row r="923" ht="12.75" customHeight="1">
      <c r="A923" s="3" t="s">
        <v>1261</v>
      </c>
      <c r="B923" s="3" t="s">
        <v>305</v>
      </c>
      <c r="C923" s="3" t="s">
        <v>45</v>
      </c>
      <c r="D923" s="3" t="s">
        <v>22</v>
      </c>
      <c r="E923" s="3" t="s">
        <v>46</v>
      </c>
      <c r="F923" s="3" t="s">
        <v>41</v>
      </c>
      <c r="G923" s="3" t="s">
        <v>13</v>
      </c>
      <c r="H923" s="3">
        <v>15288.0</v>
      </c>
      <c r="I923" s="3" t="s">
        <v>42</v>
      </c>
      <c r="K923" s="3">
        <v>17000.0</v>
      </c>
      <c r="L923" s="3" t="s">
        <v>319</v>
      </c>
      <c r="M923" s="3" t="str">
        <f t="shared" si="1"/>
        <v>Below Target</v>
      </c>
      <c r="N923" s="10">
        <f t="shared" si="2"/>
        <v>0.5125</v>
      </c>
      <c r="O923" s="11" t="str">
        <f t="shared" si="3"/>
        <v/>
      </c>
      <c r="P923" s="12">
        <f t="shared" si="4"/>
        <v>12994.8</v>
      </c>
    </row>
    <row r="924" ht="12.75" customHeight="1">
      <c r="A924" s="3" t="s">
        <v>1262</v>
      </c>
      <c r="B924" s="3" t="s">
        <v>543</v>
      </c>
      <c r="C924" s="3" t="s">
        <v>76</v>
      </c>
      <c r="D924" s="3" t="s">
        <v>24</v>
      </c>
      <c r="E924" s="3" t="s">
        <v>46</v>
      </c>
      <c r="F924" s="3" t="s">
        <v>21</v>
      </c>
      <c r="G924" s="3" t="s">
        <v>13</v>
      </c>
      <c r="H924" s="3">
        <v>9674.0</v>
      </c>
      <c r="I924" s="3" t="s">
        <v>37</v>
      </c>
      <c r="J924" s="3">
        <v>0.1</v>
      </c>
      <c r="K924" s="3">
        <v>9000.0</v>
      </c>
      <c r="L924" s="3" t="s">
        <v>80</v>
      </c>
      <c r="M924" s="3" t="str">
        <f t="shared" si="1"/>
        <v>Target Achieved</v>
      </c>
      <c r="N924" s="10">
        <f t="shared" si="2"/>
        <v>0.5189873418</v>
      </c>
      <c r="O924" s="11">
        <f t="shared" si="3"/>
        <v>0.1</v>
      </c>
      <c r="P924" s="12">
        <f t="shared" si="4"/>
        <v>8706.6</v>
      </c>
    </row>
    <row r="925" ht="12.75" customHeight="1">
      <c r="A925" s="3" t="s">
        <v>1263</v>
      </c>
      <c r="B925" s="3" t="s">
        <v>85</v>
      </c>
      <c r="C925" s="3" t="s">
        <v>76</v>
      </c>
      <c r="D925" s="3" t="s">
        <v>24</v>
      </c>
      <c r="E925" s="3" t="s">
        <v>58</v>
      </c>
      <c r="F925" s="3" t="s">
        <v>41</v>
      </c>
      <c r="G925" s="3" t="s">
        <v>12</v>
      </c>
      <c r="H925" s="3">
        <v>8350.0</v>
      </c>
      <c r="K925" s="3">
        <v>9000.0</v>
      </c>
      <c r="L925" s="15" t="s">
        <v>352</v>
      </c>
      <c r="M925" s="3" t="str">
        <f t="shared" si="1"/>
        <v>Below Target</v>
      </c>
      <c r="N925" s="10">
        <f t="shared" si="2"/>
        <v>0.5128205128</v>
      </c>
      <c r="O925" s="11">
        <f t="shared" si="3"/>
        <v>0</v>
      </c>
      <c r="P925" s="12">
        <f t="shared" si="4"/>
        <v>8350</v>
      </c>
    </row>
    <row r="926" ht="12.75" customHeight="1">
      <c r="A926" s="3" t="s">
        <v>1264</v>
      </c>
      <c r="B926" s="3" t="s">
        <v>213</v>
      </c>
      <c r="C926" s="3" t="s">
        <v>76</v>
      </c>
      <c r="D926" s="3" t="s">
        <v>24</v>
      </c>
      <c r="E926" s="3" t="s">
        <v>58</v>
      </c>
      <c r="F926" s="3" t="s">
        <v>21</v>
      </c>
      <c r="G926" s="3" t="s">
        <v>11</v>
      </c>
      <c r="H926" s="3">
        <v>10457.0</v>
      </c>
      <c r="I926" s="3" t="s">
        <v>37</v>
      </c>
      <c r="J926" s="3">
        <v>0.1</v>
      </c>
      <c r="K926" s="3">
        <v>9000.0</v>
      </c>
      <c r="L926" s="15" t="s">
        <v>348</v>
      </c>
      <c r="M926" s="3" t="str">
        <f t="shared" si="1"/>
        <v>Target Achieved</v>
      </c>
      <c r="N926" s="10">
        <f t="shared" si="2"/>
        <v>0.5194805195</v>
      </c>
      <c r="O926" s="11">
        <f t="shared" si="3"/>
        <v>0.1</v>
      </c>
      <c r="P926" s="12">
        <f t="shared" si="4"/>
        <v>9411.3</v>
      </c>
    </row>
    <row r="927" ht="12.75" customHeight="1">
      <c r="A927" s="3" t="s">
        <v>1265</v>
      </c>
      <c r="B927" s="3" t="s">
        <v>600</v>
      </c>
      <c r="C927" s="3" t="s">
        <v>76</v>
      </c>
      <c r="D927" s="3" t="s">
        <v>24</v>
      </c>
      <c r="E927" s="3" t="s">
        <v>20</v>
      </c>
      <c r="F927" s="3" t="s">
        <v>21</v>
      </c>
      <c r="G927" s="3" t="s">
        <v>13</v>
      </c>
      <c r="H927" s="3">
        <v>9323.0</v>
      </c>
      <c r="I927" s="3" t="s">
        <v>42</v>
      </c>
      <c r="K927" s="3">
        <v>9000.0</v>
      </c>
      <c r="L927" s="3" t="s">
        <v>80</v>
      </c>
      <c r="M927" s="3" t="str">
        <f t="shared" si="1"/>
        <v>Target Achieved</v>
      </c>
      <c r="N927" s="10">
        <f t="shared" si="2"/>
        <v>0.5131578947</v>
      </c>
      <c r="O927" s="11" t="str">
        <f t="shared" si="3"/>
        <v/>
      </c>
      <c r="P927" s="12">
        <f t="shared" si="4"/>
        <v>7924.55</v>
      </c>
    </row>
    <row r="928" ht="12.75" customHeight="1">
      <c r="A928" s="3" t="s">
        <v>1266</v>
      </c>
      <c r="B928" s="3" t="s">
        <v>374</v>
      </c>
      <c r="C928" s="3" t="s">
        <v>45</v>
      </c>
      <c r="D928" s="3" t="s">
        <v>22</v>
      </c>
      <c r="E928" s="3" t="s">
        <v>58</v>
      </c>
      <c r="F928" s="3" t="s">
        <v>41</v>
      </c>
      <c r="G928" s="3" t="s">
        <v>12</v>
      </c>
      <c r="H928" s="3">
        <v>18927.0</v>
      </c>
      <c r="I928" s="3" t="s">
        <v>37</v>
      </c>
      <c r="J928" s="3">
        <v>0.1</v>
      </c>
      <c r="K928" s="3">
        <v>17000.0</v>
      </c>
      <c r="L928" s="3" t="s">
        <v>336</v>
      </c>
      <c r="M928" s="3" t="str">
        <f t="shared" si="1"/>
        <v>Target Achieved</v>
      </c>
      <c r="N928" s="10">
        <f t="shared" si="2"/>
        <v>0.5066666667</v>
      </c>
      <c r="O928" s="11">
        <f t="shared" si="3"/>
        <v>0.1</v>
      </c>
      <c r="P928" s="12">
        <f t="shared" si="4"/>
        <v>17034.3</v>
      </c>
    </row>
    <row r="929" ht="12.75" customHeight="1">
      <c r="A929" s="3" t="s">
        <v>1267</v>
      </c>
      <c r="B929" s="3" t="s">
        <v>138</v>
      </c>
      <c r="C929" s="3" t="s">
        <v>45</v>
      </c>
      <c r="D929" s="3" t="s">
        <v>22</v>
      </c>
      <c r="E929" s="3" t="s">
        <v>46</v>
      </c>
      <c r="F929" s="3" t="s">
        <v>21</v>
      </c>
      <c r="G929" s="3" t="s">
        <v>11</v>
      </c>
      <c r="H929" s="3">
        <v>17653.0</v>
      </c>
      <c r="I929" s="3" t="s">
        <v>23</v>
      </c>
      <c r="J929" s="3">
        <v>0.2</v>
      </c>
      <c r="K929" s="3">
        <v>17000.0</v>
      </c>
      <c r="L929" s="15" t="s">
        <v>316</v>
      </c>
      <c r="M929" s="3" t="str">
        <f t="shared" si="1"/>
        <v>Target Achieved</v>
      </c>
      <c r="N929" s="10">
        <f t="shared" si="2"/>
        <v>0.5</v>
      </c>
      <c r="O929" s="11">
        <f t="shared" si="3"/>
        <v>0.2</v>
      </c>
      <c r="P929" s="12">
        <f t="shared" si="4"/>
        <v>14122.4</v>
      </c>
    </row>
    <row r="930" ht="12.75" customHeight="1">
      <c r="A930" s="3" t="s">
        <v>1268</v>
      </c>
      <c r="B930" s="3" t="s">
        <v>233</v>
      </c>
      <c r="C930" s="3" t="s">
        <v>76</v>
      </c>
      <c r="D930" s="3" t="s">
        <v>24</v>
      </c>
      <c r="E930" s="3" t="s">
        <v>20</v>
      </c>
      <c r="F930" s="3" t="s">
        <v>41</v>
      </c>
      <c r="G930" s="3" t="s">
        <v>11</v>
      </c>
      <c r="H930" s="3">
        <v>9850.0</v>
      </c>
      <c r="K930" s="3">
        <v>9000.0</v>
      </c>
      <c r="L930" s="3" t="s">
        <v>338</v>
      </c>
      <c r="M930" s="3" t="str">
        <f t="shared" si="1"/>
        <v>Target Achieved</v>
      </c>
      <c r="N930" s="10">
        <f t="shared" si="2"/>
        <v>0.4931506849</v>
      </c>
      <c r="O930" s="11">
        <f t="shared" si="3"/>
        <v>0</v>
      </c>
      <c r="P930" s="12">
        <f t="shared" si="4"/>
        <v>9850</v>
      </c>
    </row>
    <row r="931" ht="12.75" customHeight="1">
      <c r="A931" s="3" t="s">
        <v>1269</v>
      </c>
      <c r="B931" s="3" t="s">
        <v>36</v>
      </c>
      <c r="C931" s="3" t="s">
        <v>45</v>
      </c>
      <c r="D931" s="3" t="s">
        <v>22</v>
      </c>
      <c r="E931" s="3" t="s">
        <v>58</v>
      </c>
      <c r="F931" s="3" t="s">
        <v>41</v>
      </c>
      <c r="G931" s="3" t="s">
        <v>12</v>
      </c>
      <c r="H931" s="3">
        <v>16793.0</v>
      </c>
      <c r="I931" s="3" t="s">
        <v>23</v>
      </c>
      <c r="J931" s="3">
        <v>0.2</v>
      </c>
      <c r="K931" s="3">
        <v>17000.0</v>
      </c>
      <c r="L931" s="15" t="s">
        <v>353</v>
      </c>
      <c r="M931" s="3" t="str">
        <f t="shared" si="1"/>
        <v>Below Target</v>
      </c>
      <c r="N931" s="10">
        <f t="shared" si="2"/>
        <v>0.4861111111</v>
      </c>
      <c r="O931" s="11">
        <f t="shared" si="3"/>
        <v>0.2</v>
      </c>
      <c r="P931" s="12">
        <f t="shared" si="4"/>
        <v>13434.4</v>
      </c>
    </row>
    <row r="932" ht="12.75" customHeight="1">
      <c r="A932" s="3" t="s">
        <v>1270</v>
      </c>
      <c r="B932" s="3" t="s">
        <v>244</v>
      </c>
      <c r="C932" s="3" t="s">
        <v>18</v>
      </c>
      <c r="D932" s="3" t="s">
        <v>16</v>
      </c>
      <c r="E932" s="3" t="s">
        <v>20</v>
      </c>
      <c r="F932" s="3" t="s">
        <v>52</v>
      </c>
      <c r="G932" s="3" t="s">
        <v>13</v>
      </c>
      <c r="H932" s="3">
        <v>14003.0</v>
      </c>
      <c r="K932" s="3">
        <v>14000.0</v>
      </c>
      <c r="L932" s="15" t="s">
        <v>109</v>
      </c>
      <c r="M932" s="3" t="str">
        <f t="shared" si="1"/>
        <v>Target Achieved</v>
      </c>
      <c r="N932" s="10">
        <f t="shared" si="2"/>
        <v>0.4929577465</v>
      </c>
      <c r="O932" s="11">
        <f t="shared" si="3"/>
        <v>0</v>
      </c>
      <c r="P932" s="12">
        <f t="shared" si="4"/>
        <v>14003</v>
      </c>
    </row>
    <row r="933" ht="12.75" customHeight="1">
      <c r="A933" s="3" t="s">
        <v>1271</v>
      </c>
      <c r="B933" s="3" t="s">
        <v>172</v>
      </c>
      <c r="C933" s="3" t="s">
        <v>45</v>
      </c>
      <c r="D933" s="3" t="s">
        <v>22</v>
      </c>
      <c r="E933" s="3" t="s">
        <v>58</v>
      </c>
      <c r="F933" s="3" t="s">
        <v>52</v>
      </c>
      <c r="G933" s="3" t="s">
        <v>11</v>
      </c>
      <c r="H933" s="3">
        <v>18959.0</v>
      </c>
      <c r="I933" s="3" t="s">
        <v>37</v>
      </c>
      <c r="J933" s="3">
        <v>0.1</v>
      </c>
      <c r="K933" s="3">
        <v>17000.0</v>
      </c>
      <c r="L933" s="15" t="s">
        <v>341</v>
      </c>
      <c r="M933" s="3" t="str">
        <f t="shared" si="1"/>
        <v>Target Achieved</v>
      </c>
      <c r="N933" s="10">
        <f t="shared" si="2"/>
        <v>0.4857142857</v>
      </c>
      <c r="O933" s="11">
        <f t="shared" si="3"/>
        <v>0.1</v>
      </c>
      <c r="P933" s="12">
        <f t="shared" si="4"/>
        <v>17063.1</v>
      </c>
    </row>
    <row r="934" ht="12.75" customHeight="1">
      <c r="A934" s="3" t="s">
        <v>1272</v>
      </c>
      <c r="B934" s="3" t="s">
        <v>424</v>
      </c>
      <c r="C934" s="3" t="s">
        <v>45</v>
      </c>
      <c r="D934" s="3" t="s">
        <v>22</v>
      </c>
      <c r="E934" s="3" t="s">
        <v>20</v>
      </c>
      <c r="F934" s="3" t="s">
        <v>41</v>
      </c>
      <c r="G934" s="3" t="s">
        <v>11</v>
      </c>
      <c r="H934" s="3">
        <v>15484.0</v>
      </c>
      <c r="I934" s="3" t="s">
        <v>23</v>
      </c>
      <c r="J934" s="3">
        <v>0.2</v>
      </c>
      <c r="K934" s="3">
        <v>17000.0</v>
      </c>
      <c r="L934" s="3" t="s">
        <v>330</v>
      </c>
      <c r="M934" s="3" t="str">
        <f t="shared" si="1"/>
        <v>Below Target</v>
      </c>
      <c r="N934" s="10">
        <f t="shared" si="2"/>
        <v>0.4782608696</v>
      </c>
      <c r="O934" s="11">
        <f t="shared" si="3"/>
        <v>0.2</v>
      </c>
      <c r="P934" s="12">
        <f t="shared" si="4"/>
        <v>12387.2</v>
      </c>
    </row>
    <row r="935" ht="12.75" customHeight="1">
      <c r="A935" s="3" t="s">
        <v>1273</v>
      </c>
      <c r="B935" s="3" t="s">
        <v>122</v>
      </c>
      <c r="C935" s="3" t="s">
        <v>76</v>
      </c>
      <c r="D935" s="3" t="s">
        <v>24</v>
      </c>
      <c r="E935" s="3" t="s">
        <v>20</v>
      </c>
      <c r="F935" s="3" t="s">
        <v>52</v>
      </c>
      <c r="G935" s="3" t="s">
        <v>13</v>
      </c>
      <c r="H935" s="3">
        <v>10035.0</v>
      </c>
      <c r="I935" s="3" t="s">
        <v>42</v>
      </c>
      <c r="K935" s="3">
        <v>9000.0</v>
      </c>
      <c r="L935" s="3" t="s">
        <v>221</v>
      </c>
      <c r="M935" s="3" t="str">
        <f t="shared" si="1"/>
        <v>Target Achieved</v>
      </c>
      <c r="N935" s="10">
        <f t="shared" si="2"/>
        <v>0.4852941176</v>
      </c>
      <c r="O935" s="11" t="str">
        <f t="shared" si="3"/>
        <v/>
      </c>
      <c r="P935" s="12">
        <f t="shared" si="4"/>
        <v>8529.75</v>
      </c>
    </row>
    <row r="936" ht="12.75" customHeight="1">
      <c r="A936" s="3" t="s">
        <v>1274</v>
      </c>
      <c r="B936" s="3" t="s">
        <v>503</v>
      </c>
      <c r="C936" s="3" t="s">
        <v>18</v>
      </c>
      <c r="D936" s="3" t="s">
        <v>16</v>
      </c>
      <c r="E936" s="3" t="s">
        <v>20</v>
      </c>
      <c r="F936" s="3" t="s">
        <v>41</v>
      </c>
      <c r="G936" s="3" t="s">
        <v>11</v>
      </c>
      <c r="H936" s="3">
        <v>14678.0</v>
      </c>
      <c r="I936" s="3" t="s">
        <v>37</v>
      </c>
      <c r="J936" s="3">
        <v>0.1</v>
      </c>
      <c r="K936" s="3">
        <v>14000.0</v>
      </c>
      <c r="L936" s="3" t="s">
        <v>283</v>
      </c>
      <c r="M936" s="3" t="str">
        <f t="shared" si="1"/>
        <v>Target Achieved</v>
      </c>
      <c r="N936" s="10">
        <f t="shared" si="2"/>
        <v>0.4776119403</v>
      </c>
      <c r="O936" s="11">
        <f t="shared" si="3"/>
        <v>0.1</v>
      </c>
      <c r="P936" s="12">
        <f t="shared" si="4"/>
        <v>13210.2</v>
      </c>
    </row>
    <row r="937" ht="12.75" customHeight="1">
      <c r="A937" s="3" t="s">
        <v>1275</v>
      </c>
      <c r="B937" s="3" t="s">
        <v>75</v>
      </c>
      <c r="C937" s="3" t="s">
        <v>18</v>
      </c>
      <c r="D937" s="3" t="s">
        <v>16</v>
      </c>
      <c r="E937" s="3" t="s">
        <v>46</v>
      </c>
      <c r="F937" s="3" t="s">
        <v>52</v>
      </c>
      <c r="G937" s="3" t="s">
        <v>12</v>
      </c>
      <c r="H937" s="3">
        <v>12534.0</v>
      </c>
      <c r="I937" s="3" t="s">
        <v>37</v>
      </c>
      <c r="J937" s="3">
        <v>0.1</v>
      </c>
      <c r="K937" s="3">
        <v>14000.0</v>
      </c>
      <c r="L937" s="15" t="s">
        <v>316</v>
      </c>
      <c r="M937" s="3" t="str">
        <f t="shared" si="1"/>
        <v>Below Target</v>
      </c>
      <c r="N937" s="10">
        <f t="shared" si="2"/>
        <v>0.4696969697</v>
      </c>
      <c r="O937" s="11">
        <f t="shared" si="3"/>
        <v>0.1</v>
      </c>
      <c r="P937" s="12">
        <f t="shared" si="4"/>
        <v>11280.6</v>
      </c>
    </row>
    <row r="938" ht="12.75" customHeight="1">
      <c r="A938" s="3" t="s">
        <v>1276</v>
      </c>
      <c r="B938" s="3" t="s">
        <v>1132</v>
      </c>
      <c r="C938" s="3" t="s">
        <v>45</v>
      </c>
      <c r="D938" s="3" t="s">
        <v>22</v>
      </c>
      <c r="E938" s="3" t="s">
        <v>46</v>
      </c>
      <c r="F938" s="3" t="s">
        <v>21</v>
      </c>
      <c r="G938" s="3" t="s">
        <v>12</v>
      </c>
      <c r="H938" s="3">
        <v>15699.0</v>
      </c>
      <c r="I938" s="3" t="s">
        <v>42</v>
      </c>
      <c r="K938" s="3">
        <v>17000.0</v>
      </c>
      <c r="L938" s="15" t="s">
        <v>109</v>
      </c>
      <c r="M938" s="3" t="str">
        <f t="shared" si="1"/>
        <v>Below Target</v>
      </c>
      <c r="N938" s="10">
        <f t="shared" si="2"/>
        <v>0.4769230769</v>
      </c>
      <c r="O938" s="11" t="str">
        <f t="shared" si="3"/>
        <v/>
      </c>
      <c r="P938" s="12">
        <f t="shared" si="4"/>
        <v>13344.15</v>
      </c>
    </row>
    <row r="939" ht="12.75" customHeight="1">
      <c r="A939" s="3" t="s">
        <v>1277</v>
      </c>
      <c r="B939" s="3" t="s">
        <v>415</v>
      </c>
      <c r="C939" s="3" t="s">
        <v>18</v>
      </c>
      <c r="D939" s="3" t="s">
        <v>16</v>
      </c>
      <c r="E939" s="3" t="s">
        <v>46</v>
      </c>
      <c r="F939" s="3" t="s">
        <v>21</v>
      </c>
      <c r="G939" s="3" t="s">
        <v>12</v>
      </c>
      <c r="H939" s="3">
        <v>15273.0</v>
      </c>
      <c r="I939" s="3" t="s">
        <v>42</v>
      </c>
      <c r="K939" s="3">
        <v>14000.0</v>
      </c>
      <c r="L939" s="3" t="s">
        <v>221</v>
      </c>
      <c r="M939" s="3" t="str">
        <f t="shared" si="1"/>
        <v>Target Achieved</v>
      </c>
      <c r="N939" s="10">
        <f t="shared" si="2"/>
        <v>0.484375</v>
      </c>
      <c r="O939" s="11" t="str">
        <f t="shared" si="3"/>
        <v/>
      </c>
      <c r="P939" s="12">
        <f t="shared" si="4"/>
        <v>12982.05</v>
      </c>
    </row>
    <row r="940" ht="12.75" customHeight="1">
      <c r="A940" s="3" t="s">
        <v>1278</v>
      </c>
      <c r="B940" s="3" t="s">
        <v>253</v>
      </c>
      <c r="C940" s="3" t="s">
        <v>57</v>
      </c>
      <c r="D940" s="3" t="s">
        <v>19</v>
      </c>
      <c r="E940" s="3" t="s">
        <v>58</v>
      </c>
      <c r="F940" s="3" t="s">
        <v>21</v>
      </c>
      <c r="G940" s="3" t="s">
        <v>12</v>
      </c>
      <c r="H940" s="3">
        <v>13778.0</v>
      </c>
      <c r="K940" s="3">
        <v>13000.0</v>
      </c>
      <c r="L940" s="3" t="s">
        <v>303</v>
      </c>
      <c r="M940" s="3" t="str">
        <f t="shared" si="1"/>
        <v>Target Achieved</v>
      </c>
      <c r="N940" s="10">
        <f t="shared" si="2"/>
        <v>0.4761904762</v>
      </c>
      <c r="O940" s="11">
        <f t="shared" si="3"/>
        <v>0</v>
      </c>
      <c r="P940" s="12">
        <f t="shared" si="4"/>
        <v>13778</v>
      </c>
    </row>
    <row r="941" ht="12.75" customHeight="1">
      <c r="A941" s="3" t="s">
        <v>1279</v>
      </c>
      <c r="B941" s="3" t="s">
        <v>36</v>
      </c>
      <c r="C941" s="3" t="s">
        <v>57</v>
      </c>
      <c r="D941" s="3" t="s">
        <v>19</v>
      </c>
      <c r="E941" s="3" t="s">
        <v>58</v>
      </c>
      <c r="F941" s="3" t="s">
        <v>41</v>
      </c>
      <c r="G941" s="3" t="s">
        <v>13</v>
      </c>
      <c r="H941" s="3">
        <v>13429.0</v>
      </c>
      <c r="I941" s="3" t="s">
        <v>23</v>
      </c>
      <c r="J941" s="3">
        <v>0.2</v>
      </c>
      <c r="K941" s="3">
        <v>13000.0</v>
      </c>
      <c r="L941" s="3" t="s">
        <v>332</v>
      </c>
      <c r="M941" s="3" t="str">
        <f t="shared" si="1"/>
        <v>Target Achieved</v>
      </c>
      <c r="N941" s="10">
        <f t="shared" si="2"/>
        <v>0.4677419355</v>
      </c>
      <c r="O941" s="11">
        <f t="shared" si="3"/>
        <v>0.2</v>
      </c>
      <c r="P941" s="12">
        <f t="shared" si="4"/>
        <v>10743.2</v>
      </c>
    </row>
    <row r="942" ht="12.75" customHeight="1">
      <c r="A942" s="3" t="s">
        <v>1280</v>
      </c>
      <c r="B942" s="3" t="s">
        <v>102</v>
      </c>
      <c r="C942" s="3" t="s">
        <v>45</v>
      </c>
      <c r="D942" s="3" t="s">
        <v>22</v>
      </c>
      <c r="E942" s="3" t="s">
        <v>46</v>
      </c>
      <c r="F942" s="3" t="s">
        <v>21</v>
      </c>
      <c r="G942" s="3" t="s">
        <v>13</v>
      </c>
      <c r="H942" s="3">
        <v>17852.0</v>
      </c>
      <c r="I942" s="3" t="s">
        <v>47</v>
      </c>
      <c r="J942" s="3">
        <v>0.3</v>
      </c>
      <c r="K942" s="3">
        <v>17000.0</v>
      </c>
      <c r="L942" s="15" t="s">
        <v>349</v>
      </c>
      <c r="M942" s="3" t="str">
        <f t="shared" si="1"/>
        <v>Target Achieved</v>
      </c>
      <c r="N942" s="10">
        <f t="shared" si="2"/>
        <v>0.4590163934</v>
      </c>
      <c r="O942" s="11">
        <f t="shared" si="3"/>
        <v>0.3</v>
      </c>
      <c r="P942" s="12">
        <f t="shared" si="4"/>
        <v>12496.4</v>
      </c>
    </row>
    <row r="943" ht="12.75" customHeight="1">
      <c r="A943" s="3" t="s">
        <v>1281</v>
      </c>
      <c r="B943" s="3" t="s">
        <v>529</v>
      </c>
      <c r="C943" s="3" t="s">
        <v>57</v>
      </c>
      <c r="D943" s="3" t="s">
        <v>19</v>
      </c>
      <c r="E943" s="3" t="s">
        <v>20</v>
      </c>
      <c r="F943" s="3" t="s">
        <v>41</v>
      </c>
      <c r="G943" s="3" t="s">
        <v>13</v>
      </c>
      <c r="H943" s="3">
        <v>11409.0</v>
      </c>
      <c r="I943" s="3" t="s">
        <v>42</v>
      </c>
      <c r="K943" s="3">
        <v>13000.0</v>
      </c>
      <c r="L943" s="3" t="s">
        <v>88</v>
      </c>
      <c r="M943" s="3" t="str">
        <f t="shared" si="1"/>
        <v>Below Target</v>
      </c>
      <c r="N943" s="10">
        <f t="shared" si="2"/>
        <v>0.45</v>
      </c>
      <c r="O943" s="11" t="str">
        <f t="shared" si="3"/>
        <v/>
      </c>
      <c r="P943" s="12">
        <f t="shared" si="4"/>
        <v>9697.65</v>
      </c>
    </row>
    <row r="944" ht="12.75" customHeight="1">
      <c r="A944" s="3" t="s">
        <v>1282</v>
      </c>
      <c r="B944" s="3" t="s">
        <v>92</v>
      </c>
      <c r="C944" s="3" t="s">
        <v>18</v>
      </c>
      <c r="D944" s="3" t="s">
        <v>16</v>
      </c>
      <c r="E944" s="3" t="s">
        <v>58</v>
      </c>
      <c r="F944" s="3" t="s">
        <v>41</v>
      </c>
      <c r="G944" s="3" t="s">
        <v>13</v>
      </c>
      <c r="H944" s="3">
        <v>12029.0</v>
      </c>
      <c r="I944" s="3" t="s">
        <v>23</v>
      </c>
      <c r="J944" s="3">
        <v>0.2</v>
      </c>
      <c r="K944" s="3">
        <v>14000.0</v>
      </c>
      <c r="L944" s="3" t="s">
        <v>80</v>
      </c>
      <c r="M944" s="3" t="str">
        <f t="shared" si="1"/>
        <v>Below Target</v>
      </c>
      <c r="N944" s="10">
        <f t="shared" si="2"/>
        <v>0.4576271186</v>
      </c>
      <c r="O944" s="11">
        <f t="shared" si="3"/>
        <v>0.2</v>
      </c>
      <c r="P944" s="12">
        <f t="shared" si="4"/>
        <v>9623.2</v>
      </c>
    </row>
    <row r="945" ht="12.75" customHeight="1">
      <c r="A945" s="3" t="s">
        <v>1283</v>
      </c>
      <c r="B945" s="3" t="s">
        <v>220</v>
      </c>
      <c r="C945" s="3" t="s">
        <v>45</v>
      </c>
      <c r="D945" s="3" t="s">
        <v>22</v>
      </c>
      <c r="E945" s="3" t="s">
        <v>58</v>
      </c>
      <c r="F945" s="3" t="s">
        <v>52</v>
      </c>
      <c r="G945" s="3" t="s">
        <v>11</v>
      </c>
      <c r="H945" s="3">
        <v>17835.0</v>
      </c>
      <c r="I945" s="3" t="s">
        <v>23</v>
      </c>
      <c r="J945" s="3">
        <v>0.2</v>
      </c>
      <c r="K945" s="3">
        <v>17000.0</v>
      </c>
      <c r="L945" s="3" t="s">
        <v>65</v>
      </c>
      <c r="M945" s="3" t="str">
        <f t="shared" si="1"/>
        <v>Target Achieved</v>
      </c>
      <c r="N945" s="10">
        <f t="shared" si="2"/>
        <v>0.4655172414</v>
      </c>
      <c r="O945" s="11">
        <f t="shared" si="3"/>
        <v>0.2</v>
      </c>
      <c r="P945" s="12">
        <f t="shared" si="4"/>
        <v>14268</v>
      </c>
    </row>
    <row r="946" ht="12.75" customHeight="1">
      <c r="A946" s="3" t="s">
        <v>1284</v>
      </c>
      <c r="B946" s="3" t="s">
        <v>148</v>
      </c>
      <c r="C946" s="3" t="s">
        <v>45</v>
      </c>
      <c r="D946" s="3" t="s">
        <v>22</v>
      </c>
      <c r="E946" s="3" t="s">
        <v>20</v>
      </c>
      <c r="F946" s="3" t="s">
        <v>21</v>
      </c>
      <c r="G946" s="3" t="s">
        <v>11</v>
      </c>
      <c r="H946" s="3">
        <v>15979.0</v>
      </c>
      <c r="I946" s="3" t="s">
        <v>23</v>
      </c>
      <c r="J946" s="3">
        <v>0.2</v>
      </c>
      <c r="K946" s="3">
        <v>17000.0</v>
      </c>
      <c r="L946" s="15" t="s">
        <v>322</v>
      </c>
      <c r="M946" s="3" t="str">
        <f t="shared" si="1"/>
        <v>Below Target</v>
      </c>
      <c r="N946" s="10">
        <f t="shared" si="2"/>
        <v>0.4561403509</v>
      </c>
      <c r="O946" s="11">
        <f t="shared" si="3"/>
        <v>0.2</v>
      </c>
      <c r="P946" s="12">
        <f t="shared" si="4"/>
        <v>12783.2</v>
      </c>
    </row>
    <row r="947" ht="12.75" customHeight="1">
      <c r="A947" s="3" t="s">
        <v>1285</v>
      </c>
      <c r="B947" s="3" t="s">
        <v>564</v>
      </c>
      <c r="C947" s="3" t="s">
        <v>57</v>
      </c>
      <c r="D947" s="3" t="s">
        <v>19</v>
      </c>
      <c r="E947" s="3" t="s">
        <v>20</v>
      </c>
      <c r="F947" s="3" t="s">
        <v>21</v>
      </c>
      <c r="G947" s="3" t="s">
        <v>12</v>
      </c>
      <c r="H947" s="3">
        <v>14892.0</v>
      </c>
      <c r="I947" s="3" t="s">
        <v>37</v>
      </c>
      <c r="J947" s="3">
        <v>0.1</v>
      </c>
      <c r="K947" s="3">
        <v>13000.0</v>
      </c>
      <c r="L947" s="15" t="s">
        <v>312</v>
      </c>
      <c r="M947" s="3" t="str">
        <f t="shared" si="1"/>
        <v>Target Achieved</v>
      </c>
      <c r="N947" s="10">
        <f t="shared" si="2"/>
        <v>0.4642857143</v>
      </c>
      <c r="O947" s="11">
        <f t="shared" si="3"/>
        <v>0.1</v>
      </c>
      <c r="P947" s="12">
        <f t="shared" si="4"/>
        <v>13402.8</v>
      </c>
    </row>
    <row r="948" ht="12.75" customHeight="1">
      <c r="A948" s="3" t="s">
        <v>1286</v>
      </c>
      <c r="B948" s="3" t="s">
        <v>493</v>
      </c>
      <c r="C948" s="3" t="s">
        <v>45</v>
      </c>
      <c r="D948" s="3" t="s">
        <v>22</v>
      </c>
      <c r="E948" s="3" t="s">
        <v>58</v>
      </c>
      <c r="F948" s="3" t="s">
        <v>21</v>
      </c>
      <c r="G948" s="3" t="s">
        <v>13</v>
      </c>
      <c r="H948" s="3">
        <v>17284.0</v>
      </c>
      <c r="I948" s="3" t="s">
        <v>23</v>
      </c>
      <c r="J948" s="3">
        <v>0.2</v>
      </c>
      <c r="K948" s="3">
        <v>17000.0</v>
      </c>
      <c r="L948" s="3" t="s">
        <v>164</v>
      </c>
      <c r="M948" s="3" t="str">
        <f t="shared" si="1"/>
        <v>Target Achieved</v>
      </c>
      <c r="N948" s="10">
        <f t="shared" si="2"/>
        <v>0.4545454545</v>
      </c>
      <c r="O948" s="11">
        <f t="shared" si="3"/>
        <v>0.2</v>
      </c>
      <c r="P948" s="12">
        <f t="shared" si="4"/>
        <v>13827.2</v>
      </c>
    </row>
    <row r="949" ht="12.75" customHeight="1">
      <c r="A949" s="3" t="s">
        <v>1287</v>
      </c>
      <c r="B949" s="3" t="s">
        <v>300</v>
      </c>
      <c r="C949" s="3" t="s">
        <v>18</v>
      </c>
      <c r="D949" s="3" t="s">
        <v>16</v>
      </c>
      <c r="E949" s="3" t="s">
        <v>20</v>
      </c>
      <c r="F949" s="3" t="s">
        <v>21</v>
      </c>
      <c r="G949" s="3" t="s">
        <v>12</v>
      </c>
      <c r="H949" s="3">
        <v>14078.0</v>
      </c>
      <c r="I949" s="3" t="s">
        <v>23</v>
      </c>
      <c r="J949" s="3">
        <v>0.2</v>
      </c>
      <c r="K949" s="3">
        <v>14000.0</v>
      </c>
      <c r="L949" s="3" t="s">
        <v>345</v>
      </c>
      <c r="M949" s="3" t="str">
        <f t="shared" si="1"/>
        <v>Target Achieved</v>
      </c>
      <c r="N949" s="10">
        <f t="shared" si="2"/>
        <v>0.4444444444</v>
      </c>
      <c r="O949" s="11">
        <f t="shared" si="3"/>
        <v>0.2</v>
      </c>
      <c r="P949" s="12">
        <f t="shared" si="4"/>
        <v>11262.4</v>
      </c>
    </row>
    <row r="950" ht="12.75" customHeight="1">
      <c r="A950" s="3" t="s">
        <v>1288</v>
      </c>
      <c r="B950" s="3" t="s">
        <v>526</v>
      </c>
      <c r="C950" s="3" t="s">
        <v>57</v>
      </c>
      <c r="D950" s="3" t="s">
        <v>19</v>
      </c>
      <c r="E950" s="3" t="s">
        <v>58</v>
      </c>
      <c r="F950" s="3" t="s">
        <v>41</v>
      </c>
      <c r="G950" s="3" t="s">
        <v>13</v>
      </c>
      <c r="H950" s="3">
        <v>11461.0</v>
      </c>
      <c r="I950" s="3" t="s">
        <v>23</v>
      </c>
      <c r="J950" s="3">
        <v>0.2</v>
      </c>
      <c r="K950" s="3">
        <v>13000.0</v>
      </c>
      <c r="L950" s="3" t="s">
        <v>238</v>
      </c>
      <c r="M950" s="3" t="str">
        <f t="shared" si="1"/>
        <v>Below Target</v>
      </c>
      <c r="N950" s="10">
        <f t="shared" si="2"/>
        <v>0.4339622642</v>
      </c>
      <c r="O950" s="11">
        <f t="shared" si="3"/>
        <v>0.2</v>
      </c>
      <c r="P950" s="12">
        <f t="shared" si="4"/>
        <v>9168.8</v>
      </c>
    </row>
    <row r="951" ht="12.75" customHeight="1">
      <c r="A951" s="3" t="s">
        <v>1289</v>
      </c>
      <c r="B951" s="3" t="s">
        <v>1290</v>
      </c>
      <c r="C951" s="3" t="s">
        <v>76</v>
      </c>
      <c r="D951" s="3" t="s">
        <v>24</v>
      </c>
      <c r="E951" s="3" t="s">
        <v>46</v>
      </c>
      <c r="F951" s="3" t="s">
        <v>41</v>
      </c>
      <c r="G951" s="3" t="s">
        <v>12</v>
      </c>
      <c r="H951" s="3">
        <v>10779.0</v>
      </c>
      <c r="I951" s="3" t="s">
        <v>37</v>
      </c>
      <c r="J951" s="3">
        <v>0.1</v>
      </c>
      <c r="K951" s="3">
        <v>9000.0</v>
      </c>
      <c r="L951" s="15" t="s">
        <v>347</v>
      </c>
      <c r="M951" s="3" t="str">
        <f t="shared" si="1"/>
        <v>Target Achieved</v>
      </c>
      <c r="N951" s="10">
        <f t="shared" si="2"/>
        <v>0.4423076923</v>
      </c>
      <c r="O951" s="11">
        <f t="shared" si="3"/>
        <v>0.1</v>
      </c>
      <c r="P951" s="12">
        <f t="shared" si="4"/>
        <v>9701.1</v>
      </c>
    </row>
    <row r="952" ht="12.75" customHeight="1">
      <c r="A952" s="3" t="s">
        <v>1291</v>
      </c>
      <c r="B952" s="3" t="s">
        <v>413</v>
      </c>
      <c r="C952" s="3" t="s">
        <v>45</v>
      </c>
      <c r="D952" s="3" t="s">
        <v>22</v>
      </c>
      <c r="E952" s="3" t="s">
        <v>46</v>
      </c>
      <c r="F952" s="3" t="s">
        <v>21</v>
      </c>
      <c r="G952" s="3" t="s">
        <v>11</v>
      </c>
      <c r="H952" s="3">
        <v>16369.0</v>
      </c>
      <c r="I952" s="3" t="s">
        <v>42</v>
      </c>
      <c r="K952" s="3">
        <v>17000.0</v>
      </c>
      <c r="L952" s="3" t="s">
        <v>330</v>
      </c>
      <c r="M952" s="3" t="str">
        <f t="shared" si="1"/>
        <v>Below Target</v>
      </c>
      <c r="N952" s="10">
        <f t="shared" si="2"/>
        <v>0.431372549</v>
      </c>
      <c r="O952" s="11" t="str">
        <f t="shared" si="3"/>
        <v/>
      </c>
      <c r="P952" s="12">
        <f t="shared" si="4"/>
        <v>13913.65</v>
      </c>
    </row>
    <row r="953" ht="12.75" customHeight="1">
      <c r="A953" s="3" t="s">
        <v>1292</v>
      </c>
      <c r="B953" s="3" t="s">
        <v>189</v>
      </c>
      <c r="C953" s="3" t="s">
        <v>76</v>
      </c>
      <c r="D953" s="3" t="s">
        <v>24</v>
      </c>
      <c r="E953" s="3" t="s">
        <v>46</v>
      </c>
      <c r="F953" s="3" t="s">
        <v>41</v>
      </c>
      <c r="G953" s="3" t="s">
        <v>12</v>
      </c>
      <c r="H953" s="3">
        <v>7214.0</v>
      </c>
      <c r="I953" s="3" t="s">
        <v>42</v>
      </c>
      <c r="K953" s="3">
        <v>9000.0</v>
      </c>
      <c r="L953" s="15" t="s">
        <v>316</v>
      </c>
      <c r="M953" s="3" t="str">
        <f t="shared" si="1"/>
        <v>Below Target</v>
      </c>
      <c r="N953" s="10">
        <f t="shared" si="2"/>
        <v>0.44</v>
      </c>
      <c r="O953" s="11" t="str">
        <f t="shared" si="3"/>
        <v/>
      </c>
      <c r="P953" s="12">
        <f t="shared" si="4"/>
        <v>6131.9</v>
      </c>
    </row>
    <row r="954" ht="12.75" customHeight="1">
      <c r="A954" s="3" t="s">
        <v>1293</v>
      </c>
      <c r="B954" s="3" t="s">
        <v>174</v>
      </c>
      <c r="C954" s="3" t="s">
        <v>18</v>
      </c>
      <c r="D954" s="3" t="s">
        <v>16</v>
      </c>
      <c r="E954" s="3" t="s">
        <v>58</v>
      </c>
      <c r="F954" s="3" t="s">
        <v>52</v>
      </c>
      <c r="G954" s="3" t="s">
        <v>13</v>
      </c>
      <c r="H954" s="3">
        <v>12290.0</v>
      </c>
      <c r="I954" s="3" t="s">
        <v>23</v>
      </c>
      <c r="J954" s="3">
        <v>0.2</v>
      </c>
      <c r="K954" s="3">
        <v>14000.0</v>
      </c>
      <c r="L954" s="3" t="s">
        <v>319</v>
      </c>
      <c r="M954" s="3" t="str">
        <f t="shared" si="1"/>
        <v>Below Target</v>
      </c>
      <c r="N954" s="10">
        <f t="shared" si="2"/>
        <v>0.4489795918</v>
      </c>
      <c r="O954" s="11">
        <f t="shared" si="3"/>
        <v>0.2</v>
      </c>
      <c r="P954" s="12">
        <f t="shared" si="4"/>
        <v>9832</v>
      </c>
    </row>
    <row r="955" ht="12.75" customHeight="1">
      <c r="A955" s="3" t="s">
        <v>1294</v>
      </c>
      <c r="B955" s="3" t="s">
        <v>700</v>
      </c>
      <c r="C955" s="3" t="s">
        <v>45</v>
      </c>
      <c r="D955" s="3" t="s">
        <v>22</v>
      </c>
      <c r="E955" s="3" t="s">
        <v>58</v>
      </c>
      <c r="F955" s="3" t="s">
        <v>41</v>
      </c>
      <c r="G955" s="3" t="s">
        <v>12</v>
      </c>
      <c r="H955" s="3">
        <v>17772.0</v>
      </c>
      <c r="I955" s="3" t="s">
        <v>47</v>
      </c>
      <c r="J955" s="3">
        <v>0.3</v>
      </c>
      <c r="K955" s="3">
        <v>17000.0</v>
      </c>
      <c r="L955" s="3" t="s">
        <v>221</v>
      </c>
      <c r="M955" s="3" t="str">
        <f t="shared" si="1"/>
        <v>Target Achieved</v>
      </c>
      <c r="N955" s="10">
        <f t="shared" si="2"/>
        <v>0.4583333333</v>
      </c>
      <c r="O955" s="11">
        <f t="shared" si="3"/>
        <v>0.3</v>
      </c>
      <c r="P955" s="12">
        <f t="shared" si="4"/>
        <v>12440.4</v>
      </c>
    </row>
    <row r="956" ht="12.75" customHeight="1">
      <c r="A956" s="3" t="s">
        <v>1295</v>
      </c>
      <c r="B956" s="3" t="s">
        <v>752</v>
      </c>
      <c r="C956" s="3" t="s">
        <v>45</v>
      </c>
      <c r="D956" s="3" t="s">
        <v>22</v>
      </c>
      <c r="E956" s="3" t="s">
        <v>46</v>
      </c>
      <c r="F956" s="3" t="s">
        <v>41</v>
      </c>
      <c r="G956" s="3" t="s">
        <v>13</v>
      </c>
      <c r="H956" s="3">
        <v>18021.0</v>
      </c>
      <c r="K956" s="3">
        <v>17000.0</v>
      </c>
      <c r="L956" s="3" t="s">
        <v>139</v>
      </c>
      <c r="M956" s="3" t="str">
        <f t="shared" si="1"/>
        <v>Target Achieved</v>
      </c>
      <c r="N956" s="10">
        <f t="shared" si="2"/>
        <v>0.4468085106</v>
      </c>
      <c r="O956" s="11">
        <f t="shared" si="3"/>
        <v>0</v>
      </c>
      <c r="P956" s="12">
        <f t="shared" si="4"/>
        <v>18021</v>
      </c>
    </row>
    <row r="957" ht="12.75" customHeight="1">
      <c r="A957" s="3" t="s">
        <v>1296</v>
      </c>
      <c r="B957" s="3" t="s">
        <v>514</v>
      </c>
      <c r="C957" s="3" t="s">
        <v>57</v>
      </c>
      <c r="D957" s="3" t="s">
        <v>19</v>
      </c>
      <c r="E957" s="3" t="s">
        <v>46</v>
      </c>
      <c r="F957" s="3" t="s">
        <v>21</v>
      </c>
      <c r="G957" s="3" t="s">
        <v>12</v>
      </c>
      <c r="H957" s="3">
        <v>12984.0</v>
      </c>
      <c r="I957" s="3" t="s">
        <v>37</v>
      </c>
      <c r="J957" s="3">
        <v>0.1</v>
      </c>
      <c r="K957" s="3">
        <v>13000.0</v>
      </c>
      <c r="L957" s="3" t="s">
        <v>337</v>
      </c>
      <c r="M957" s="3" t="str">
        <f t="shared" si="1"/>
        <v>Below Target</v>
      </c>
      <c r="N957" s="10">
        <f t="shared" si="2"/>
        <v>0.4347826087</v>
      </c>
      <c r="O957" s="11">
        <f t="shared" si="3"/>
        <v>0.1</v>
      </c>
      <c r="P957" s="12">
        <f t="shared" si="4"/>
        <v>11685.6</v>
      </c>
    </row>
    <row r="958" ht="12.75" customHeight="1">
      <c r="A958" s="3" t="s">
        <v>1297</v>
      </c>
      <c r="B958" s="3" t="s">
        <v>237</v>
      </c>
      <c r="C958" s="3" t="s">
        <v>57</v>
      </c>
      <c r="D958" s="3" t="s">
        <v>19</v>
      </c>
      <c r="E958" s="3" t="s">
        <v>20</v>
      </c>
      <c r="F958" s="3" t="s">
        <v>21</v>
      </c>
      <c r="G958" s="3" t="s">
        <v>13</v>
      </c>
      <c r="H958" s="3">
        <v>12586.0</v>
      </c>
      <c r="I958" s="3" t="s">
        <v>47</v>
      </c>
      <c r="J958" s="3">
        <v>0.3</v>
      </c>
      <c r="K958" s="3">
        <v>13000.0</v>
      </c>
      <c r="L958" s="15" t="s">
        <v>353</v>
      </c>
      <c r="M958" s="3" t="str">
        <f t="shared" si="1"/>
        <v>Below Target</v>
      </c>
      <c r="N958" s="10">
        <f t="shared" si="2"/>
        <v>0.4444444444</v>
      </c>
      <c r="O958" s="11">
        <f t="shared" si="3"/>
        <v>0.3</v>
      </c>
      <c r="P958" s="12">
        <f t="shared" si="4"/>
        <v>8810.2</v>
      </c>
    </row>
    <row r="959" ht="12.75" customHeight="1">
      <c r="A959" s="3" t="s">
        <v>1298</v>
      </c>
      <c r="B959" s="3" t="s">
        <v>583</v>
      </c>
      <c r="C959" s="3" t="s">
        <v>57</v>
      </c>
      <c r="D959" s="3" t="s">
        <v>19</v>
      </c>
      <c r="E959" s="3" t="s">
        <v>20</v>
      </c>
      <c r="F959" s="3" t="s">
        <v>21</v>
      </c>
      <c r="G959" s="3" t="s">
        <v>11</v>
      </c>
      <c r="H959" s="3">
        <v>11828.0</v>
      </c>
      <c r="I959" s="3" t="s">
        <v>47</v>
      </c>
      <c r="J959" s="3">
        <v>0.3</v>
      </c>
      <c r="K959" s="3">
        <v>13000.0</v>
      </c>
      <c r="L959" s="15" t="s">
        <v>353</v>
      </c>
      <c r="M959" s="3" t="str">
        <f t="shared" si="1"/>
        <v>Below Target</v>
      </c>
      <c r="N959" s="10">
        <f t="shared" si="2"/>
        <v>0.4545454545</v>
      </c>
      <c r="O959" s="11">
        <f t="shared" si="3"/>
        <v>0.3</v>
      </c>
      <c r="P959" s="12">
        <f t="shared" si="4"/>
        <v>8279.6</v>
      </c>
    </row>
    <row r="960" ht="12.75" customHeight="1">
      <c r="A960" s="3" t="s">
        <v>1299</v>
      </c>
      <c r="B960" s="3" t="s">
        <v>242</v>
      </c>
      <c r="C960" s="3" t="s">
        <v>18</v>
      </c>
      <c r="D960" s="3" t="s">
        <v>16</v>
      </c>
      <c r="E960" s="3" t="s">
        <v>58</v>
      </c>
      <c r="F960" s="3" t="s">
        <v>41</v>
      </c>
      <c r="G960" s="3" t="s">
        <v>13</v>
      </c>
      <c r="H960" s="3">
        <v>15488.0</v>
      </c>
      <c r="K960" s="3">
        <v>14000.0</v>
      </c>
      <c r="L960" s="3" t="s">
        <v>345</v>
      </c>
      <c r="M960" s="3" t="str">
        <f t="shared" si="1"/>
        <v>Target Achieved</v>
      </c>
      <c r="N960" s="10">
        <f t="shared" si="2"/>
        <v>0.4651162791</v>
      </c>
      <c r="O960" s="11">
        <f t="shared" si="3"/>
        <v>0</v>
      </c>
      <c r="P960" s="12">
        <f t="shared" si="4"/>
        <v>15488</v>
      </c>
    </row>
    <row r="961" ht="12.75" customHeight="1">
      <c r="A961" s="3" t="s">
        <v>1300</v>
      </c>
      <c r="B961" s="3" t="s">
        <v>237</v>
      </c>
      <c r="C961" s="3" t="s">
        <v>45</v>
      </c>
      <c r="D961" s="3" t="s">
        <v>22</v>
      </c>
      <c r="E961" s="3" t="s">
        <v>46</v>
      </c>
      <c r="F961" s="3" t="s">
        <v>21</v>
      </c>
      <c r="G961" s="3" t="s">
        <v>12</v>
      </c>
      <c r="H961" s="3">
        <v>15642.0</v>
      </c>
      <c r="I961" s="3" t="s">
        <v>42</v>
      </c>
      <c r="K961" s="3">
        <v>17000.0</v>
      </c>
      <c r="L961" s="3" t="s">
        <v>338</v>
      </c>
      <c r="M961" s="3" t="str">
        <f t="shared" si="1"/>
        <v>Below Target</v>
      </c>
      <c r="N961" s="10">
        <f t="shared" si="2"/>
        <v>0.4523809524</v>
      </c>
      <c r="O961" s="11" t="str">
        <f t="shared" si="3"/>
        <v/>
      </c>
      <c r="P961" s="12">
        <f t="shared" si="4"/>
        <v>13295.7</v>
      </c>
    </row>
    <row r="962" ht="12.75" customHeight="1">
      <c r="A962" s="3" t="s">
        <v>1301</v>
      </c>
      <c r="B962" s="3" t="s">
        <v>820</v>
      </c>
      <c r="C962" s="3" t="s">
        <v>57</v>
      </c>
      <c r="D962" s="3" t="s">
        <v>19</v>
      </c>
      <c r="E962" s="3" t="s">
        <v>46</v>
      </c>
      <c r="F962" s="3" t="s">
        <v>21</v>
      </c>
      <c r="G962" s="3" t="s">
        <v>12</v>
      </c>
      <c r="H962" s="3">
        <v>13003.0</v>
      </c>
      <c r="I962" s="3" t="s">
        <v>23</v>
      </c>
      <c r="J962" s="3">
        <v>0.2</v>
      </c>
      <c r="K962" s="3">
        <v>13000.0</v>
      </c>
      <c r="L962" s="15" t="s">
        <v>275</v>
      </c>
      <c r="M962" s="3" t="str">
        <f t="shared" si="1"/>
        <v>Target Achieved</v>
      </c>
      <c r="N962" s="10">
        <f t="shared" si="2"/>
        <v>0.4634146341</v>
      </c>
      <c r="O962" s="11">
        <f t="shared" si="3"/>
        <v>0.2</v>
      </c>
      <c r="P962" s="12">
        <f t="shared" si="4"/>
        <v>10402.4</v>
      </c>
    </row>
    <row r="963" ht="12.75" customHeight="1">
      <c r="A963" s="3" t="s">
        <v>1302</v>
      </c>
      <c r="B963" s="3" t="s">
        <v>852</v>
      </c>
      <c r="C963" s="3" t="s">
        <v>76</v>
      </c>
      <c r="D963" s="3" t="s">
        <v>24</v>
      </c>
      <c r="E963" s="3" t="s">
        <v>58</v>
      </c>
      <c r="F963" s="3" t="s">
        <v>41</v>
      </c>
      <c r="G963" s="3" t="s">
        <v>12</v>
      </c>
      <c r="H963" s="3">
        <v>8753.0</v>
      </c>
      <c r="I963" s="3" t="s">
        <v>23</v>
      </c>
      <c r="J963" s="3">
        <v>0.2</v>
      </c>
      <c r="K963" s="3">
        <v>9000.0</v>
      </c>
      <c r="L963" s="3" t="s">
        <v>245</v>
      </c>
      <c r="M963" s="3" t="str">
        <f t="shared" si="1"/>
        <v>Below Target</v>
      </c>
      <c r="N963" s="10">
        <f t="shared" si="2"/>
        <v>0.45</v>
      </c>
      <c r="O963" s="11">
        <f t="shared" si="3"/>
        <v>0.2</v>
      </c>
      <c r="P963" s="12">
        <f t="shared" si="4"/>
        <v>7002.4</v>
      </c>
    </row>
    <row r="964" ht="12.75" customHeight="1">
      <c r="A964" s="3" t="s">
        <v>1303</v>
      </c>
      <c r="B964" s="3" t="s">
        <v>766</v>
      </c>
      <c r="C964" s="3" t="s">
        <v>57</v>
      </c>
      <c r="D964" s="3" t="s">
        <v>19</v>
      </c>
      <c r="E964" s="3" t="s">
        <v>20</v>
      </c>
      <c r="F964" s="3" t="s">
        <v>41</v>
      </c>
      <c r="G964" s="3" t="s">
        <v>12</v>
      </c>
      <c r="H964" s="3">
        <v>14679.0</v>
      </c>
      <c r="I964" s="3" t="s">
        <v>37</v>
      </c>
      <c r="J964" s="3">
        <v>0.1</v>
      </c>
      <c r="K964" s="3">
        <v>13000.0</v>
      </c>
      <c r="L964" s="3" t="s">
        <v>68</v>
      </c>
      <c r="M964" s="3" t="str">
        <f t="shared" si="1"/>
        <v>Target Achieved</v>
      </c>
      <c r="N964" s="10">
        <f t="shared" si="2"/>
        <v>0.4615384615</v>
      </c>
      <c r="O964" s="11">
        <f t="shared" si="3"/>
        <v>0.1</v>
      </c>
      <c r="P964" s="12">
        <f t="shared" si="4"/>
        <v>13211.1</v>
      </c>
    </row>
    <row r="965" ht="12.75" customHeight="1">
      <c r="A965" s="3" t="s">
        <v>1304</v>
      </c>
      <c r="B965" s="3" t="s">
        <v>205</v>
      </c>
      <c r="C965" s="3" t="s">
        <v>76</v>
      </c>
      <c r="D965" s="3" t="s">
        <v>24</v>
      </c>
      <c r="E965" s="3" t="s">
        <v>20</v>
      </c>
      <c r="F965" s="3" t="s">
        <v>52</v>
      </c>
      <c r="G965" s="3" t="s">
        <v>13</v>
      </c>
      <c r="H965" s="3">
        <v>8743.0</v>
      </c>
      <c r="I965" s="3" t="s">
        <v>42</v>
      </c>
      <c r="K965" s="3">
        <v>9000.0</v>
      </c>
      <c r="L965" s="3" t="s">
        <v>314</v>
      </c>
      <c r="M965" s="3" t="str">
        <f t="shared" si="1"/>
        <v>Below Target</v>
      </c>
      <c r="N965" s="10">
        <f t="shared" si="2"/>
        <v>0.4473684211</v>
      </c>
      <c r="O965" s="11" t="str">
        <f t="shared" si="3"/>
        <v/>
      </c>
      <c r="P965" s="12">
        <f t="shared" si="4"/>
        <v>7431.55</v>
      </c>
    </row>
    <row r="966" ht="12.75" customHeight="1">
      <c r="A966" s="3" t="s">
        <v>1305</v>
      </c>
      <c r="B966" s="3" t="s">
        <v>200</v>
      </c>
      <c r="C966" s="3" t="s">
        <v>18</v>
      </c>
      <c r="D966" s="3" t="s">
        <v>16</v>
      </c>
      <c r="E966" s="3" t="s">
        <v>58</v>
      </c>
      <c r="F966" s="3" t="s">
        <v>21</v>
      </c>
      <c r="G966" s="3" t="s">
        <v>13</v>
      </c>
      <c r="H966" s="3">
        <v>12340.0</v>
      </c>
      <c r="I966" s="3" t="s">
        <v>42</v>
      </c>
      <c r="K966" s="3">
        <v>14000.0</v>
      </c>
      <c r="L966" s="3" t="s">
        <v>323</v>
      </c>
      <c r="M966" s="3" t="str">
        <f t="shared" si="1"/>
        <v>Below Target</v>
      </c>
      <c r="N966" s="10">
        <f t="shared" si="2"/>
        <v>0.4594594595</v>
      </c>
      <c r="O966" s="11" t="str">
        <f t="shared" si="3"/>
        <v/>
      </c>
      <c r="P966" s="12">
        <f t="shared" si="4"/>
        <v>10489</v>
      </c>
    </row>
    <row r="967" ht="12.75" customHeight="1">
      <c r="A967" s="3" t="s">
        <v>1306</v>
      </c>
      <c r="B967" s="3" t="s">
        <v>242</v>
      </c>
      <c r="C967" s="3" t="s">
        <v>76</v>
      </c>
      <c r="D967" s="3" t="s">
        <v>24</v>
      </c>
      <c r="E967" s="3" t="s">
        <v>46</v>
      </c>
      <c r="F967" s="3" t="s">
        <v>41</v>
      </c>
      <c r="G967" s="3" t="s">
        <v>11</v>
      </c>
      <c r="H967" s="3">
        <v>8211.0</v>
      </c>
      <c r="I967" s="3" t="s">
        <v>23</v>
      </c>
      <c r="J967" s="3">
        <v>0.2</v>
      </c>
      <c r="K967" s="3">
        <v>9000.0</v>
      </c>
      <c r="L967" s="15" t="s">
        <v>313</v>
      </c>
      <c r="M967" s="3" t="str">
        <f t="shared" si="1"/>
        <v>Below Target</v>
      </c>
      <c r="N967" s="10">
        <f t="shared" si="2"/>
        <v>0.4722222222</v>
      </c>
      <c r="O967" s="11">
        <f t="shared" si="3"/>
        <v>0.2</v>
      </c>
      <c r="P967" s="12">
        <f t="shared" si="4"/>
        <v>6568.8</v>
      </c>
    </row>
    <row r="968" ht="12.75" customHeight="1">
      <c r="A968" s="3" t="s">
        <v>1307</v>
      </c>
      <c r="B968" s="3" t="s">
        <v>56</v>
      </c>
      <c r="C968" s="3" t="s">
        <v>76</v>
      </c>
      <c r="D968" s="3" t="s">
        <v>24</v>
      </c>
      <c r="E968" s="3" t="s">
        <v>20</v>
      </c>
      <c r="F968" s="3" t="s">
        <v>21</v>
      </c>
      <c r="G968" s="3" t="s">
        <v>13</v>
      </c>
      <c r="H968" s="3">
        <v>9880.0</v>
      </c>
      <c r="K968" s="3">
        <v>9000.0</v>
      </c>
      <c r="L968" s="3" t="s">
        <v>77</v>
      </c>
      <c r="M968" s="3" t="str">
        <f t="shared" si="1"/>
        <v>Target Achieved</v>
      </c>
      <c r="N968" s="10">
        <f t="shared" si="2"/>
        <v>0.4857142857</v>
      </c>
      <c r="O968" s="11">
        <f t="shared" si="3"/>
        <v>0</v>
      </c>
      <c r="P968" s="12">
        <f t="shared" si="4"/>
        <v>9880</v>
      </c>
    </row>
    <row r="969" ht="12.75" customHeight="1">
      <c r="A969" s="3" t="s">
        <v>1308</v>
      </c>
      <c r="B969" s="3" t="s">
        <v>292</v>
      </c>
      <c r="C969" s="3" t="s">
        <v>18</v>
      </c>
      <c r="D969" s="3" t="s">
        <v>16</v>
      </c>
      <c r="E969" s="3" t="s">
        <v>58</v>
      </c>
      <c r="F969" s="3" t="s">
        <v>21</v>
      </c>
      <c r="G969" s="3" t="s">
        <v>13</v>
      </c>
      <c r="H969" s="3">
        <v>15580.0</v>
      </c>
      <c r="K969" s="3">
        <v>14000.0</v>
      </c>
      <c r="L969" s="15" t="s">
        <v>316</v>
      </c>
      <c r="M969" s="3" t="str">
        <f t="shared" si="1"/>
        <v>Target Achieved</v>
      </c>
      <c r="N969" s="10">
        <f t="shared" si="2"/>
        <v>0.4705882353</v>
      </c>
      <c r="O969" s="11">
        <f t="shared" si="3"/>
        <v>0</v>
      </c>
      <c r="P969" s="12">
        <f t="shared" si="4"/>
        <v>15580</v>
      </c>
    </row>
    <row r="970" ht="12.75" customHeight="1">
      <c r="A970" s="3" t="s">
        <v>1309</v>
      </c>
      <c r="B970" s="3" t="s">
        <v>180</v>
      </c>
      <c r="C970" s="3" t="s">
        <v>45</v>
      </c>
      <c r="D970" s="3" t="s">
        <v>22</v>
      </c>
      <c r="E970" s="3" t="s">
        <v>20</v>
      </c>
      <c r="F970" s="3" t="s">
        <v>21</v>
      </c>
      <c r="G970" s="3" t="s">
        <v>12</v>
      </c>
      <c r="H970" s="3">
        <v>17594.0</v>
      </c>
      <c r="I970" s="3" t="s">
        <v>37</v>
      </c>
      <c r="J970" s="3">
        <v>0.1</v>
      </c>
      <c r="K970" s="3">
        <v>17000.0</v>
      </c>
      <c r="L970" s="3" t="s">
        <v>139</v>
      </c>
      <c r="M970" s="3" t="str">
        <f t="shared" si="1"/>
        <v>Target Achieved</v>
      </c>
      <c r="N970" s="10">
        <f t="shared" si="2"/>
        <v>0.4545454545</v>
      </c>
      <c r="O970" s="11">
        <f t="shared" si="3"/>
        <v>0.1</v>
      </c>
      <c r="P970" s="12">
        <f t="shared" si="4"/>
        <v>15834.6</v>
      </c>
    </row>
    <row r="971" ht="12.75" customHeight="1">
      <c r="A971" s="3" t="s">
        <v>1310</v>
      </c>
      <c r="B971" s="3" t="s">
        <v>17</v>
      </c>
      <c r="C971" s="3" t="s">
        <v>76</v>
      </c>
      <c r="D971" s="3" t="s">
        <v>24</v>
      </c>
      <c r="E971" s="3" t="s">
        <v>20</v>
      </c>
      <c r="F971" s="3" t="s">
        <v>21</v>
      </c>
      <c r="G971" s="3" t="s">
        <v>12</v>
      </c>
      <c r="H971" s="3">
        <v>7133.0</v>
      </c>
      <c r="I971" s="3" t="s">
        <v>47</v>
      </c>
      <c r="J971" s="3">
        <v>0.3</v>
      </c>
      <c r="K971" s="3">
        <v>9000.0</v>
      </c>
      <c r="L971" s="3" t="s">
        <v>117</v>
      </c>
      <c r="M971" s="3" t="str">
        <f t="shared" si="1"/>
        <v>Below Target</v>
      </c>
      <c r="N971" s="10">
        <f t="shared" si="2"/>
        <v>0.4375</v>
      </c>
      <c r="O971" s="11">
        <f t="shared" si="3"/>
        <v>0.3</v>
      </c>
      <c r="P971" s="12">
        <f t="shared" si="4"/>
        <v>4993.1</v>
      </c>
    </row>
    <row r="972" ht="12.75" customHeight="1">
      <c r="A972" s="3" t="s">
        <v>1311</v>
      </c>
      <c r="B972" s="3" t="s">
        <v>1173</v>
      </c>
      <c r="C972" s="3" t="s">
        <v>57</v>
      </c>
      <c r="D972" s="3" t="s">
        <v>19</v>
      </c>
      <c r="E972" s="3" t="s">
        <v>20</v>
      </c>
      <c r="F972" s="3" t="s">
        <v>41</v>
      </c>
      <c r="G972" s="3" t="s">
        <v>12</v>
      </c>
      <c r="H972" s="3">
        <v>14607.0</v>
      </c>
      <c r="I972" s="3" t="s">
        <v>47</v>
      </c>
      <c r="J972" s="3">
        <v>0.3</v>
      </c>
      <c r="K972" s="3">
        <v>13000.0</v>
      </c>
      <c r="L972" s="3" t="s">
        <v>38</v>
      </c>
      <c r="M972" s="3" t="str">
        <f t="shared" si="1"/>
        <v>Target Achieved</v>
      </c>
      <c r="N972" s="10">
        <f t="shared" si="2"/>
        <v>0.4516129032</v>
      </c>
      <c r="O972" s="11">
        <f t="shared" si="3"/>
        <v>0.3</v>
      </c>
      <c r="P972" s="12">
        <f t="shared" si="4"/>
        <v>10224.9</v>
      </c>
    </row>
    <row r="973" ht="12.75" customHeight="1">
      <c r="A973" s="3" t="s">
        <v>1312</v>
      </c>
      <c r="B973" s="3" t="s">
        <v>1087</v>
      </c>
      <c r="C973" s="3" t="s">
        <v>45</v>
      </c>
      <c r="D973" s="3" t="s">
        <v>22</v>
      </c>
      <c r="E973" s="3" t="s">
        <v>46</v>
      </c>
      <c r="F973" s="3" t="s">
        <v>41</v>
      </c>
      <c r="G973" s="3" t="s">
        <v>11</v>
      </c>
      <c r="H973" s="3">
        <v>16497.0</v>
      </c>
      <c r="K973" s="3">
        <v>17000.0</v>
      </c>
      <c r="L973" s="15" t="s">
        <v>322</v>
      </c>
      <c r="M973" s="3" t="str">
        <f t="shared" si="1"/>
        <v>Below Target</v>
      </c>
      <c r="N973" s="10">
        <f t="shared" si="2"/>
        <v>0.4333333333</v>
      </c>
      <c r="O973" s="11">
        <f t="shared" si="3"/>
        <v>0</v>
      </c>
      <c r="P973" s="12">
        <f t="shared" si="4"/>
        <v>16497</v>
      </c>
    </row>
    <row r="974" ht="12.75" customHeight="1">
      <c r="A974" s="3" t="s">
        <v>1313</v>
      </c>
      <c r="B974" s="3" t="s">
        <v>163</v>
      </c>
      <c r="C974" s="3" t="s">
        <v>45</v>
      </c>
      <c r="D974" s="3" t="s">
        <v>22</v>
      </c>
      <c r="E974" s="3" t="s">
        <v>46</v>
      </c>
      <c r="F974" s="3" t="s">
        <v>52</v>
      </c>
      <c r="G974" s="3" t="s">
        <v>12</v>
      </c>
      <c r="H974" s="3">
        <v>17887.0</v>
      </c>
      <c r="I974" s="3" t="s">
        <v>37</v>
      </c>
      <c r="J974" s="3">
        <v>0.1</v>
      </c>
      <c r="K974" s="3">
        <v>17000.0</v>
      </c>
      <c r="L974" s="15" t="s">
        <v>349</v>
      </c>
      <c r="M974" s="3" t="str">
        <f t="shared" si="1"/>
        <v>Target Achieved</v>
      </c>
      <c r="N974" s="10">
        <f t="shared" si="2"/>
        <v>0.4482758621</v>
      </c>
      <c r="O974" s="11">
        <f t="shared" si="3"/>
        <v>0.1</v>
      </c>
      <c r="P974" s="12">
        <f t="shared" si="4"/>
        <v>16098.3</v>
      </c>
    </row>
    <row r="975" ht="12.75" customHeight="1">
      <c r="A975" s="3" t="s">
        <v>1314</v>
      </c>
      <c r="B975" s="3" t="s">
        <v>368</v>
      </c>
      <c r="C975" s="3" t="s">
        <v>57</v>
      </c>
      <c r="D975" s="3" t="s">
        <v>19</v>
      </c>
      <c r="E975" s="3" t="s">
        <v>46</v>
      </c>
      <c r="F975" s="3" t="s">
        <v>21</v>
      </c>
      <c r="G975" s="3" t="s">
        <v>13</v>
      </c>
      <c r="H975" s="3">
        <v>13210.0</v>
      </c>
      <c r="I975" s="3" t="s">
        <v>37</v>
      </c>
      <c r="J975" s="3">
        <v>0.1</v>
      </c>
      <c r="K975" s="3">
        <v>13000.0</v>
      </c>
      <c r="L975" s="15" t="s">
        <v>313</v>
      </c>
      <c r="M975" s="3" t="str">
        <f t="shared" si="1"/>
        <v>Target Achieved</v>
      </c>
      <c r="N975" s="10">
        <f t="shared" si="2"/>
        <v>0.4285714286</v>
      </c>
      <c r="O975" s="11">
        <f t="shared" si="3"/>
        <v>0.1</v>
      </c>
      <c r="P975" s="12">
        <f t="shared" si="4"/>
        <v>11889</v>
      </c>
    </row>
    <row r="976" ht="12.75" customHeight="1">
      <c r="A976" s="3" t="s">
        <v>1315</v>
      </c>
      <c r="B976" s="3" t="s">
        <v>583</v>
      </c>
      <c r="C976" s="3" t="s">
        <v>57</v>
      </c>
      <c r="D976" s="3" t="s">
        <v>19</v>
      </c>
      <c r="E976" s="3" t="s">
        <v>20</v>
      </c>
      <c r="F976" s="3" t="s">
        <v>41</v>
      </c>
      <c r="G976" s="3" t="s">
        <v>11</v>
      </c>
      <c r="H976" s="3">
        <v>12444.0</v>
      </c>
      <c r="I976" s="3" t="s">
        <v>47</v>
      </c>
      <c r="J976" s="3">
        <v>0.3</v>
      </c>
      <c r="K976" s="3">
        <v>13000.0</v>
      </c>
      <c r="L976" s="15" t="s">
        <v>155</v>
      </c>
      <c r="M976" s="3" t="str">
        <f t="shared" si="1"/>
        <v>Below Target</v>
      </c>
      <c r="N976" s="10">
        <f t="shared" si="2"/>
        <v>0.4074074074</v>
      </c>
      <c r="O976" s="11">
        <f t="shared" si="3"/>
        <v>0.3</v>
      </c>
      <c r="P976" s="12">
        <f t="shared" si="4"/>
        <v>8710.8</v>
      </c>
    </row>
    <row r="977" ht="12.75" customHeight="1">
      <c r="A977" s="3" t="s">
        <v>1316</v>
      </c>
      <c r="B977" s="3" t="s">
        <v>119</v>
      </c>
      <c r="C977" s="3" t="s">
        <v>45</v>
      </c>
      <c r="D977" s="3" t="s">
        <v>22</v>
      </c>
      <c r="E977" s="3" t="s">
        <v>46</v>
      </c>
      <c r="F977" s="3" t="s">
        <v>41</v>
      </c>
      <c r="G977" s="3" t="s">
        <v>11</v>
      </c>
      <c r="H977" s="3">
        <v>16414.0</v>
      </c>
      <c r="K977" s="3">
        <v>17000.0</v>
      </c>
      <c r="L977" s="15" t="s">
        <v>177</v>
      </c>
      <c r="M977" s="3" t="str">
        <f t="shared" si="1"/>
        <v>Below Target</v>
      </c>
      <c r="N977" s="10">
        <f t="shared" si="2"/>
        <v>0.4230769231</v>
      </c>
      <c r="O977" s="11">
        <f t="shared" si="3"/>
        <v>0</v>
      </c>
      <c r="P977" s="12">
        <f t="shared" si="4"/>
        <v>16414</v>
      </c>
    </row>
    <row r="978" ht="12.75" customHeight="1">
      <c r="A978" s="3" t="s">
        <v>1317</v>
      </c>
      <c r="B978" s="3" t="s">
        <v>215</v>
      </c>
      <c r="C978" s="3" t="s">
        <v>18</v>
      </c>
      <c r="D978" s="3" t="s">
        <v>16</v>
      </c>
      <c r="E978" s="3" t="s">
        <v>58</v>
      </c>
      <c r="F978" s="3" t="s">
        <v>52</v>
      </c>
      <c r="G978" s="3" t="s">
        <v>12</v>
      </c>
      <c r="H978" s="3">
        <v>14778.0</v>
      </c>
      <c r="I978" s="3" t="s">
        <v>42</v>
      </c>
      <c r="K978" s="3">
        <v>14000.0</v>
      </c>
      <c r="L978" s="3" t="s">
        <v>338</v>
      </c>
      <c r="M978" s="3" t="str">
        <f t="shared" si="1"/>
        <v>Target Achieved</v>
      </c>
      <c r="N978" s="10">
        <f t="shared" si="2"/>
        <v>0.44</v>
      </c>
      <c r="O978" s="11" t="str">
        <f t="shared" si="3"/>
        <v/>
      </c>
      <c r="P978" s="12">
        <f t="shared" si="4"/>
        <v>12561.3</v>
      </c>
    </row>
    <row r="979" ht="12.75" customHeight="1">
      <c r="A979" s="3" t="s">
        <v>1318</v>
      </c>
      <c r="B979" s="3" t="s">
        <v>60</v>
      </c>
      <c r="C979" s="3" t="s">
        <v>45</v>
      </c>
      <c r="D979" s="3" t="s">
        <v>22</v>
      </c>
      <c r="E979" s="3" t="s">
        <v>20</v>
      </c>
      <c r="F979" s="3" t="s">
        <v>52</v>
      </c>
      <c r="G979" s="3" t="s">
        <v>13</v>
      </c>
      <c r="H979" s="3">
        <v>15771.0</v>
      </c>
      <c r="K979" s="3">
        <v>17000.0</v>
      </c>
      <c r="L979" s="15" t="s">
        <v>123</v>
      </c>
      <c r="M979" s="3" t="str">
        <f t="shared" si="1"/>
        <v>Below Target</v>
      </c>
      <c r="N979" s="10">
        <f t="shared" si="2"/>
        <v>0.4166666667</v>
      </c>
      <c r="O979" s="11">
        <f t="shared" si="3"/>
        <v>0</v>
      </c>
      <c r="P979" s="12">
        <f t="shared" si="4"/>
        <v>15771</v>
      </c>
    </row>
    <row r="980" ht="12.75" customHeight="1">
      <c r="A980" s="3" t="s">
        <v>1319</v>
      </c>
      <c r="B980" s="3" t="s">
        <v>82</v>
      </c>
      <c r="C980" s="3" t="s">
        <v>57</v>
      </c>
      <c r="D980" s="3" t="s">
        <v>19</v>
      </c>
      <c r="E980" s="3" t="s">
        <v>58</v>
      </c>
      <c r="F980" s="3" t="s">
        <v>41</v>
      </c>
      <c r="G980" s="3" t="s">
        <v>13</v>
      </c>
      <c r="H980" s="3">
        <v>11674.0</v>
      </c>
      <c r="I980" s="3" t="s">
        <v>47</v>
      </c>
      <c r="J980" s="3">
        <v>0.3</v>
      </c>
      <c r="K980" s="3">
        <v>13000.0</v>
      </c>
      <c r="L980" s="15" t="s">
        <v>147</v>
      </c>
      <c r="M980" s="3" t="str">
        <f t="shared" si="1"/>
        <v>Below Target</v>
      </c>
      <c r="N980" s="10">
        <f t="shared" si="2"/>
        <v>0.4347826087</v>
      </c>
      <c r="O980" s="11">
        <f t="shared" si="3"/>
        <v>0.3</v>
      </c>
      <c r="P980" s="12">
        <f t="shared" si="4"/>
        <v>8171.8</v>
      </c>
    </row>
    <row r="981" ht="12.75" customHeight="1">
      <c r="A981" s="3" t="s">
        <v>1320</v>
      </c>
      <c r="B981" s="3" t="s">
        <v>195</v>
      </c>
      <c r="C981" s="3" t="s">
        <v>76</v>
      </c>
      <c r="D981" s="3" t="s">
        <v>24</v>
      </c>
      <c r="E981" s="3" t="s">
        <v>46</v>
      </c>
      <c r="F981" s="3" t="s">
        <v>41</v>
      </c>
      <c r="G981" s="3" t="s">
        <v>12</v>
      </c>
      <c r="H981" s="3">
        <v>10899.0</v>
      </c>
      <c r="I981" s="3" t="s">
        <v>37</v>
      </c>
      <c r="J981" s="3">
        <v>0.1</v>
      </c>
      <c r="K981" s="3">
        <v>9000.0</v>
      </c>
      <c r="L981" s="3" t="s">
        <v>268</v>
      </c>
      <c r="M981" s="3" t="str">
        <f t="shared" si="1"/>
        <v>Target Achieved</v>
      </c>
      <c r="N981" s="10">
        <f t="shared" si="2"/>
        <v>0.4545454545</v>
      </c>
      <c r="O981" s="11">
        <f t="shared" si="3"/>
        <v>0.1</v>
      </c>
      <c r="P981" s="12">
        <f t="shared" si="4"/>
        <v>9809.1</v>
      </c>
    </row>
    <row r="982" ht="12.75" customHeight="1">
      <c r="A982" s="3" t="s">
        <v>1321</v>
      </c>
      <c r="B982" s="3" t="s">
        <v>366</v>
      </c>
      <c r="C982" s="3" t="s">
        <v>57</v>
      </c>
      <c r="D982" s="3" t="s">
        <v>19</v>
      </c>
      <c r="E982" s="3" t="s">
        <v>58</v>
      </c>
      <c r="F982" s="3" t="s">
        <v>21</v>
      </c>
      <c r="G982" s="3" t="s">
        <v>11</v>
      </c>
      <c r="H982" s="3">
        <v>12818.0</v>
      </c>
      <c r="I982" s="3" t="s">
        <v>37</v>
      </c>
      <c r="J982" s="3">
        <v>0.1</v>
      </c>
      <c r="K982" s="3">
        <v>13000.0</v>
      </c>
      <c r="L982" s="3" t="s">
        <v>268</v>
      </c>
      <c r="M982" s="3" t="str">
        <f t="shared" si="1"/>
        <v>Below Target</v>
      </c>
      <c r="N982" s="10">
        <f t="shared" si="2"/>
        <v>0.4285714286</v>
      </c>
      <c r="O982" s="11">
        <f t="shared" si="3"/>
        <v>0.1</v>
      </c>
      <c r="P982" s="12">
        <f t="shared" si="4"/>
        <v>11536.2</v>
      </c>
    </row>
    <row r="983" ht="12.75" customHeight="1">
      <c r="A983" s="3" t="s">
        <v>1322</v>
      </c>
      <c r="B983" s="3" t="s">
        <v>288</v>
      </c>
      <c r="C983" s="3" t="s">
        <v>18</v>
      </c>
      <c r="D983" s="3" t="s">
        <v>16</v>
      </c>
      <c r="E983" s="3" t="s">
        <v>46</v>
      </c>
      <c r="F983" s="3" t="s">
        <v>52</v>
      </c>
      <c r="G983" s="3" t="s">
        <v>12</v>
      </c>
      <c r="H983" s="3">
        <v>13375.0</v>
      </c>
      <c r="K983" s="3">
        <v>14000.0</v>
      </c>
      <c r="L983" s="15" t="s">
        <v>275</v>
      </c>
      <c r="M983" s="3" t="str">
        <f t="shared" si="1"/>
        <v>Below Target</v>
      </c>
      <c r="N983" s="10">
        <f t="shared" si="2"/>
        <v>0.45</v>
      </c>
      <c r="O983" s="11">
        <f t="shared" si="3"/>
        <v>0</v>
      </c>
      <c r="P983" s="12">
        <f t="shared" si="4"/>
        <v>13375</v>
      </c>
    </row>
    <row r="984" ht="12.75" customHeight="1">
      <c r="A984" s="3" t="s">
        <v>1323</v>
      </c>
      <c r="B984" s="3" t="s">
        <v>192</v>
      </c>
      <c r="C984" s="3" t="s">
        <v>45</v>
      </c>
      <c r="D984" s="3" t="s">
        <v>22</v>
      </c>
      <c r="E984" s="3" t="s">
        <v>58</v>
      </c>
      <c r="F984" s="3" t="s">
        <v>52</v>
      </c>
      <c r="G984" s="3" t="s">
        <v>12</v>
      </c>
      <c r="H984" s="3">
        <v>17854.0</v>
      </c>
      <c r="I984" s="3" t="s">
        <v>42</v>
      </c>
      <c r="K984" s="3">
        <v>17000.0</v>
      </c>
      <c r="L984" s="3" t="s">
        <v>106</v>
      </c>
      <c r="M984" s="3" t="str">
        <f t="shared" si="1"/>
        <v>Target Achieved</v>
      </c>
      <c r="N984" s="10">
        <f t="shared" si="2"/>
        <v>0.4736842105</v>
      </c>
      <c r="O984" s="11" t="str">
        <f t="shared" si="3"/>
        <v/>
      </c>
      <c r="P984" s="12">
        <f t="shared" si="4"/>
        <v>15175.9</v>
      </c>
    </row>
    <row r="985" ht="12.75" customHeight="1">
      <c r="A985" s="3" t="s">
        <v>1324</v>
      </c>
      <c r="B985" s="3" t="s">
        <v>644</v>
      </c>
      <c r="C985" s="3" t="s">
        <v>76</v>
      </c>
      <c r="D985" s="3" t="s">
        <v>24</v>
      </c>
      <c r="E985" s="3" t="s">
        <v>58</v>
      </c>
      <c r="F985" s="3" t="s">
        <v>52</v>
      </c>
      <c r="G985" s="3" t="s">
        <v>13</v>
      </c>
      <c r="H985" s="3">
        <v>10679.0</v>
      </c>
      <c r="I985" s="3" t="s">
        <v>47</v>
      </c>
      <c r="J985" s="3">
        <v>0.3</v>
      </c>
      <c r="K985" s="3">
        <v>9000.0</v>
      </c>
      <c r="L985" s="15" t="s">
        <v>103</v>
      </c>
      <c r="M985" s="3" t="str">
        <f t="shared" si="1"/>
        <v>Target Achieved</v>
      </c>
      <c r="N985" s="10">
        <f t="shared" si="2"/>
        <v>0.4444444444</v>
      </c>
      <c r="O985" s="11">
        <f t="shared" si="3"/>
        <v>0.3</v>
      </c>
      <c r="P985" s="12">
        <f t="shared" si="4"/>
        <v>7475.3</v>
      </c>
    </row>
    <row r="986" ht="12.75" customHeight="1">
      <c r="A986" s="3" t="s">
        <v>1325</v>
      </c>
      <c r="B986" s="3" t="s">
        <v>1173</v>
      </c>
      <c r="C986" s="3" t="s">
        <v>57</v>
      </c>
      <c r="D986" s="3" t="s">
        <v>19</v>
      </c>
      <c r="E986" s="3" t="s">
        <v>58</v>
      </c>
      <c r="F986" s="3" t="s">
        <v>21</v>
      </c>
      <c r="G986" s="3" t="s">
        <v>11</v>
      </c>
      <c r="H986" s="3">
        <v>14152.0</v>
      </c>
      <c r="I986" s="3" t="s">
        <v>37</v>
      </c>
      <c r="J986" s="3">
        <v>0.1</v>
      </c>
      <c r="K986" s="3">
        <v>13000.0</v>
      </c>
      <c r="L986" s="15" t="s">
        <v>114</v>
      </c>
      <c r="M986" s="3" t="str">
        <f t="shared" si="1"/>
        <v>Target Achieved</v>
      </c>
      <c r="N986" s="10">
        <f t="shared" si="2"/>
        <v>0.4117647059</v>
      </c>
      <c r="O986" s="11">
        <f t="shared" si="3"/>
        <v>0.1</v>
      </c>
      <c r="P986" s="12">
        <f t="shared" si="4"/>
        <v>12736.8</v>
      </c>
    </row>
    <row r="987" ht="12.75" customHeight="1">
      <c r="A987" s="3" t="s">
        <v>1326</v>
      </c>
      <c r="B987" s="3" t="s">
        <v>1205</v>
      </c>
      <c r="C987" s="3" t="s">
        <v>76</v>
      </c>
      <c r="D987" s="3" t="s">
        <v>24</v>
      </c>
      <c r="E987" s="3" t="s">
        <v>46</v>
      </c>
      <c r="F987" s="3" t="s">
        <v>52</v>
      </c>
      <c r="G987" s="3" t="s">
        <v>13</v>
      </c>
      <c r="H987" s="3">
        <v>9915.0</v>
      </c>
      <c r="I987" s="3" t="s">
        <v>42</v>
      </c>
      <c r="K987" s="3">
        <v>9000.0</v>
      </c>
      <c r="L987" s="3" t="s">
        <v>268</v>
      </c>
      <c r="M987" s="3" t="str">
        <f t="shared" si="1"/>
        <v>Target Achieved</v>
      </c>
      <c r="N987" s="10">
        <f t="shared" si="2"/>
        <v>0.375</v>
      </c>
      <c r="O987" s="11" t="str">
        <f t="shared" si="3"/>
        <v/>
      </c>
      <c r="P987" s="12">
        <f t="shared" si="4"/>
        <v>8427.75</v>
      </c>
    </row>
    <row r="988" ht="12.75" customHeight="1">
      <c r="A988" s="3" t="s">
        <v>1327</v>
      </c>
      <c r="B988" s="3" t="s">
        <v>223</v>
      </c>
      <c r="C988" s="3" t="s">
        <v>57</v>
      </c>
      <c r="D988" s="3" t="s">
        <v>19</v>
      </c>
      <c r="E988" s="3" t="s">
        <v>46</v>
      </c>
      <c r="F988" s="3" t="s">
        <v>41</v>
      </c>
      <c r="G988" s="3" t="s">
        <v>13</v>
      </c>
      <c r="H988" s="3">
        <v>11168.0</v>
      </c>
      <c r="I988" s="3" t="s">
        <v>47</v>
      </c>
      <c r="J988" s="3">
        <v>0.3</v>
      </c>
      <c r="K988" s="3">
        <v>13000.0</v>
      </c>
      <c r="L988" s="15" t="s">
        <v>352</v>
      </c>
      <c r="M988" s="3" t="str">
        <f t="shared" si="1"/>
        <v>Below Target</v>
      </c>
      <c r="N988" s="10">
        <f t="shared" si="2"/>
        <v>0.3333333333</v>
      </c>
      <c r="O988" s="11">
        <f t="shared" si="3"/>
        <v>0.3</v>
      </c>
      <c r="P988" s="12">
        <f t="shared" si="4"/>
        <v>7817.6</v>
      </c>
    </row>
    <row r="989" ht="12.75" customHeight="1">
      <c r="A989" s="3" t="s">
        <v>1328</v>
      </c>
      <c r="B989" s="3" t="s">
        <v>529</v>
      </c>
      <c r="C989" s="3" t="s">
        <v>45</v>
      </c>
      <c r="D989" s="3" t="s">
        <v>22</v>
      </c>
      <c r="E989" s="3" t="s">
        <v>58</v>
      </c>
      <c r="F989" s="3" t="s">
        <v>41</v>
      </c>
      <c r="G989" s="3" t="s">
        <v>13</v>
      </c>
      <c r="H989" s="3">
        <v>17303.0</v>
      </c>
      <c r="I989" s="3" t="s">
        <v>37</v>
      </c>
      <c r="J989" s="3">
        <v>0.1</v>
      </c>
      <c r="K989" s="3">
        <v>17000.0</v>
      </c>
      <c r="L989" s="15" t="s">
        <v>317</v>
      </c>
      <c r="M989" s="3" t="str">
        <f t="shared" si="1"/>
        <v>Target Achieved</v>
      </c>
      <c r="N989" s="10">
        <f t="shared" si="2"/>
        <v>0.3571428571</v>
      </c>
      <c r="O989" s="11">
        <f t="shared" si="3"/>
        <v>0.1</v>
      </c>
      <c r="P989" s="12">
        <f t="shared" si="4"/>
        <v>15572.7</v>
      </c>
    </row>
    <row r="990" ht="12.75" customHeight="1">
      <c r="A990" s="3" t="s">
        <v>1329</v>
      </c>
      <c r="B990" s="3" t="s">
        <v>374</v>
      </c>
      <c r="C990" s="3" t="s">
        <v>57</v>
      </c>
      <c r="D990" s="3" t="s">
        <v>19</v>
      </c>
      <c r="E990" s="3" t="s">
        <v>58</v>
      </c>
      <c r="F990" s="3" t="s">
        <v>21</v>
      </c>
      <c r="G990" s="3" t="s">
        <v>12</v>
      </c>
      <c r="H990" s="3">
        <v>14995.0</v>
      </c>
      <c r="I990" s="3" t="s">
        <v>23</v>
      </c>
      <c r="J990" s="3">
        <v>0.2</v>
      </c>
      <c r="K990" s="3">
        <v>13000.0</v>
      </c>
      <c r="L990" s="15" t="s">
        <v>348</v>
      </c>
      <c r="M990" s="3" t="str">
        <f t="shared" si="1"/>
        <v>Target Achieved</v>
      </c>
      <c r="N990" s="10">
        <f t="shared" si="2"/>
        <v>0.3076923077</v>
      </c>
      <c r="O990" s="11">
        <f t="shared" si="3"/>
        <v>0.2</v>
      </c>
      <c r="P990" s="12">
        <f t="shared" si="4"/>
        <v>11996</v>
      </c>
    </row>
    <row r="991" ht="12.75" customHeight="1">
      <c r="A991" s="3" t="s">
        <v>1330</v>
      </c>
      <c r="B991" s="3" t="s">
        <v>280</v>
      </c>
      <c r="C991" s="3" t="s">
        <v>18</v>
      </c>
      <c r="D991" s="3" t="s">
        <v>16</v>
      </c>
      <c r="E991" s="3" t="s">
        <v>58</v>
      </c>
      <c r="F991" s="3" t="s">
        <v>21</v>
      </c>
      <c r="G991" s="3" t="s">
        <v>13</v>
      </c>
      <c r="H991" s="3">
        <v>15882.0</v>
      </c>
      <c r="K991" s="3">
        <v>14000.0</v>
      </c>
      <c r="L991" s="3" t="s">
        <v>80</v>
      </c>
      <c r="M991" s="3" t="str">
        <f t="shared" si="1"/>
        <v>Target Achieved</v>
      </c>
      <c r="N991" s="10">
        <f t="shared" si="2"/>
        <v>0.25</v>
      </c>
      <c r="O991" s="11">
        <f t="shared" si="3"/>
        <v>0</v>
      </c>
      <c r="P991" s="12">
        <f t="shared" si="4"/>
        <v>15882</v>
      </c>
    </row>
    <row r="992" ht="12.75" customHeight="1">
      <c r="A992" s="3" t="s">
        <v>1331</v>
      </c>
      <c r="B992" s="3" t="s">
        <v>828</v>
      </c>
      <c r="C992" s="3" t="s">
        <v>18</v>
      </c>
      <c r="D992" s="3" t="s">
        <v>16</v>
      </c>
      <c r="E992" s="3" t="s">
        <v>20</v>
      </c>
      <c r="F992" s="3" t="s">
        <v>52</v>
      </c>
      <c r="G992" s="3" t="s">
        <v>12</v>
      </c>
      <c r="H992" s="3">
        <v>13356.0</v>
      </c>
      <c r="I992" s="3" t="s">
        <v>47</v>
      </c>
      <c r="J992" s="3">
        <v>0.3</v>
      </c>
      <c r="K992" s="3">
        <v>14000.0</v>
      </c>
      <c r="L992" s="3" t="s">
        <v>283</v>
      </c>
      <c r="M992" s="3" t="str">
        <f t="shared" si="1"/>
        <v>Below Target</v>
      </c>
      <c r="N992" s="10">
        <f t="shared" si="2"/>
        <v>0.1818181818</v>
      </c>
      <c r="O992" s="11">
        <f t="shared" si="3"/>
        <v>0.3</v>
      </c>
      <c r="P992" s="12">
        <f t="shared" si="4"/>
        <v>9349.2</v>
      </c>
    </row>
    <row r="993" ht="12.75" customHeight="1">
      <c r="A993" s="3" t="s">
        <v>1332</v>
      </c>
      <c r="B993" s="3" t="s">
        <v>145</v>
      </c>
      <c r="C993" s="3" t="s">
        <v>57</v>
      </c>
      <c r="D993" s="3" t="s">
        <v>19</v>
      </c>
      <c r="E993" s="3" t="s">
        <v>20</v>
      </c>
      <c r="F993" s="3" t="s">
        <v>52</v>
      </c>
      <c r="G993" s="3" t="s">
        <v>11</v>
      </c>
      <c r="H993" s="3">
        <v>12387.0</v>
      </c>
      <c r="I993" s="3" t="s">
        <v>37</v>
      </c>
      <c r="J993" s="3">
        <v>0.1</v>
      </c>
      <c r="K993" s="3">
        <v>13000.0</v>
      </c>
      <c r="L993" s="3" t="s">
        <v>319</v>
      </c>
      <c r="M993" s="3" t="str">
        <f t="shared" si="1"/>
        <v>Below Target</v>
      </c>
      <c r="N993" s="10">
        <f t="shared" si="2"/>
        <v>0.2</v>
      </c>
      <c r="O993" s="11">
        <f t="shared" si="3"/>
        <v>0.1</v>
      </c>
      <c r="P993" s="12">
        <f t="shared" si="4"/>
        <v>11148.3</v>
      </c>
    </row>
    <row r="994" ht="12.75" customHeight="1">
      <c r="A994" s="3" t="s">
        <v>1333</v>
      </c>
      <c r="B994" s="3" t="s">
        <v>811</v>
      </c>
      <c r="C994" s="3" t="s">
        <v>57</v>
      </c>
      <c r="D994" s="3" t="s">
        <v>19</v>
      </c>
      <c r="E994" s="3" t="s">
        <v>20</v>
      </c>
      <c r="F994" s="3" t="s">
        <v>52</v>
      </c>
      <c r="G994" s="3" t="s">
        <v>13</v>
      </c>
      <c r="H994" s="3">
        <v>12261.0</v>
      </c>
      <c r="I994" s="3" t="s">
        <v>37</v>
      </c>
      <c r="J994" s="3">
        <v>0.1</v>
      </c>
      <c r="K994" s="3">
        <v>13000.0</v>
      </c>
      <c r="L994" s="3" t="s">
        <v>314</v>
      </c>
      <c r="M994" s="3" t="str">
        <f t="shared" si="1"/>
        <v>Below Target</v>
      </c>
      <c r="N994" s="10">
        <f t="shared" si="2"/>
        <v>0.2222222222</v>
      </c>
      <c r="O994" s="11">
        <f t="shared" si="3"/>
        <v>0.1</v>
      </c>
      <c r="P994" s="12">
        <f t="shared" si="4"/>
        <v>11034.9</v>
      </c>
    </row>
    <row r="995" ht="12.75" customHeight="1">
      <c r="A995" s="3" t="s">
        <v>1334</v>
      </c>
      <c r="B995" s="3" t="s">
        <v>937</v>
      </c>
      <c r="C995" s="3" t="s">
        <v>57</v>
      </c>
      <c r="D995" s="3" t="s">
        <v>19</v>
      </c>
      <c r="E995" s="3" t="s">
        <v>58</v>
      </c>
      <c r="F995" s="3" t="s">
        <v>21</v>
      </c>
      <c r="G995" s="3" t="s">
        <v>13</v>
      </c>
      <c r="H995" s="3">
        <v>12336.0</v>
      </c>
      <c r="I995" s="3" t="s">
        <v>37</v>
      </c>
      <c r="J995" s="3">
        <v>0.1</v>
      </c>
      <c r="K995" s="3">
        <v>13000.0</v>
      </c>
      <c r="L995" s="15" t="s">
        <v>130</v>
      </c>
      <c r="M995" s="3" t="str">
        <f t="shared" si="1"/>
        <v>Below Target</v>
      </c>
      <c r="N995" s="10">
        <f t="shared" si="2"/>
        <v>0.25</v>
      </c>
      <c r="O995" s="11">
        <f t="shared" si="3"/>
        <v>0.1</v>
      </c>
      <c r="P995" s="12">
        <f t="shared" si="4"/>
        <v>11102.4</v>
      </c>
    </row>
    <row r="996" ht="12.75" customHeight="1">
      <c r="A996" s="3" t="s">
        <v>1335</v>
      </c>
      <c r="B996" s="3" t="s">
        <v>298</v>
      </c>
      <c r="C996" s="3" t="s">
        <v>57</v>
      </c>
      <c r="D996" s="3" t="s">
        <v>19</v>
      </c>
      <c r="E996" s="3" t="s">
        <v>58</v>
      </c>
      <c r="F996" s="3" t="s">
        <v>41</v>
      </c>
      <c r="G996" s="3" t="s">
        <v>13</v>
      </c>
      <c r="H996" s="3">
        <v>11342.0</v>
      </c>
      <c r="I996" s="3" t="s">
        <v>42</v>
      </c>
      <c r="K996" s="3">
        <v>13000.0</v>
      </c>
      <c r="L996" s="3" t="s">
        <v>77</v>
      </c>
      <c r="M996" s="3" t="str">
        <f t="shared" si="1"/>
        <v>Below Target</v>
      </c>
      <c r="N996" s="10">
        <f t="shared" si="2"/>
        <v>0.2857142857</v>
      </c>
      <c r="O996" s="11" t="str">
        <f t="shared" si="3"/>
        <v/>
      </c>
      <c r="P996" s="12">
        <f t="shared" si="4"/>
        <v>9640.7</v>
      </c>
    </row>
    <row r="997" ht="12.75" customHeight="1">
      <c r="A997" s="3" t="s">
        <v>1336</v>
      </c>
      <c r="B997" s="3" t="s">
        <v>429</v>
      </c>
      <c r="C997" s="3" t="s">
        <v>18</v>
      </c>
      <c r="D997" s="3" t="s">
        <v>16</v>
      </c>
      <c r="E997" s="3" t="s">
        <v>20</v>
      </c>
      <c r="F997" s="3" t="s">
        <v>21</v>
      </c>
      <c r="G997" s="3" t="s">
        <v>13</v>
      </c>
      <c r="H997" s="3">
        <v>14008.0</v>
      </c>
      <c r="I997" s="3" t="s">
        <v>47</v>
      </c>
      <c r="J997" s="3">
        <v>0.3</v>
      </c>
      <c r="K997" s="3">
        <v>14000.0</v>
      </c>
      <c r="L997" s="15" t="s">
        <v>130</v>
      </c>
      <c r="M997" s="3" t="str">
        <f t="shared" si="1"/>
        <v>Target Achieved</v>
      </c>
      <c r="N997" s="10">
        <f t="shared" si="2"/>
        <v>0.3333333333</v>
      </c>
      <c r="O997" s="11">
        <f t="shared" si="3"/>
        <v>0.3</v>
      </c>
      <c r="P997" s="12">
        <f t="shared" si="4"/>
        <v>9805.6</v>
      </c>
    </row>
    <row r="998" ht="12.75" customHeight="1">
      <c r="A998" s="3" t="s">
        <v>1337</v>
      </c>
      <c r="B998" s="3" t="s">
        <v>113</v>
      </c>
      <c r="C998" s="3" t="s">
        <v>18</v>
      </c>
      <c r="D998" s="3" t="s">
        <v>16</v>
      </c>
      <c r="E998" s="3" t="s">
        <v>20</v>
      </c>
      <c r="F998" s="3" t="s">
        <v>21</v>
      </c>
      <c r="G998" s="3" t="s">
        <v>11</v>
      </c>
      <c r="H998" s="3">
        <v>12605.0</v>
      </c>
      <c r="K998" s="3">
        <v>14000.0</v>
      </c>
      <c r="L998" s="3" t="s">
        <v>336</v>
      </c>
      <c r="M998" s="3" t="str">
        <f t="shared" si="1"/>
        <v>Below Target</v>
      </c>
      <c r="N998" s="10">
        <f t="shared" si="2"/>
        <v>0.2</v>
      </c>
      <c r="O998" s="11">
        <f t="shared" si="3"/>
        <v>0</v>
      </c>
      <c r="P998" s="12">
        <f t="shared" si="4"/>
        <v>12605</v>
      </c>
    </row>
    <row r="999" ht="12.75" customHeight="1">
      <c r="A999" s="3" t="s">
        <v>1338</v>
      </c>
      <c r="B999" s="3" t="s">
        <v>574</v>
      </c>
      <c r="C999" s="3" t="s">
        <v>18</v>
      </c>
      <c r="D999" s="3" t="s">
        <v>16</v>
      </c>
      <c r="E999" s="3" t="s">
        <v>58</v>
      </c>
      <c r="F999" s="3" t="s">
        <v>21</v>
      </c>
      <c r="G999" s="3" t="s">
        <v>11</v>
      </c>
      <c r="H999" s="3">
        <v>13261.0</v>
      </c>
      <c r="K999" s="3">
        <v>14000.0</v>
      </c>
      <c r="L999" s="3" t="s">
        <v>139</v>
      </c>
      <c r="M999" s="3" t="str">
        <f t="shared" si="1"/>
        <v>Below Target</v>
      </c>
      <c r="N999" s="10">
        <f t="shared" si="2"/>
        <v>0.25</v>
      </c>
      <c r="O999" s="11">
        <f t="shared" si="3"/>
        <v>0</v>
      </c>
      <c r="P999" s="12">
        <f t="shared" si="4"/>
        <v>13261</v>
      </c>
    </row>
    <row r="1000" ht="12.75" customHeight="1">
      <c r="A1000" s="3" t="s">
        <v>1339</v>
      </c>
      <c r="B1000" s="3" t="s">
        <v>1005</v>
      </c>
      <c r="C1000" s="3" t="s">
        <v>57</v>
      </c>
      <c r="D1000" s="3" t="s">
        <v>19</v>
      </c>
      <c r="E1000" s="3" t="s">
        <v>20</v>
      </c>
      <c r="F1000" s="3" t="s">
        <v>21</v>
      </c>
      <c r="G1000" s="3" t="s">
        <v>12</v>
      </c>
      <c r="H1000" s="3">
        <v>12702.0</v>
      </c>
      <c r="K1000" s="3">
        <v>13000.0</v>
      </c>
      <c r="L1000" s="3" t="s">
        <v>268</v>
      </c>
      <c r="M1000" s="3" t="str">
        <f t="shared" si="1"/>
        <v>Below Target</v>
      </c>
      <c r="N1000" s="10">
        <f t="shared" si="2"/>
        <v>0.3333333333</v>
      </c>
      <c r="O1000" s="11">
        <f t="shared" si="3"/>
        <v>0</v>
      </c>
      <c r="P1000" s="12">
        <f t="shared" si="4"/>
        <v>12702</v>
      </c>
    </row>
    <row r="1001" ht="12.75" customHeight="1">
      <c r="A1001" s="3" t="s">
        <v>1340</v>
      </c>
      <c r="B1001" s="3" t="s">
        <v>174</v>
      </c>
      <c r="C1001" s="3" t="s">
        <v>76</v>
      </c>
      <c r="D1001" s="3" t="s">
        <v>24</v>
      </c>
      <c r="E1001" s="3" t="s">
        <v>20</v>
      </c>
      <c r="F1001" s="3" t="s">
        <v>21</v>
      </c>
      <c r="G1001" s="3" t="s">
        <v>13</v>
      </c>
      <c r="H1001" s="3">
        <v>10422.0</v>
      </c>
      <c r="I1001" s="3" t="s">
        <v>42</v>
      </c>
      <c r="K1001" s="3">
        <v>9000.0</v>
      </c>
      <c r="L1001" s="15" t="s">
        <v>130</v>
      </c>
      <c r="M1001" s="3" t="str">
        <f t="shared" si="1"/>
        <v>Target Achieved</v>
      </c>
      <c r="N1001" s="10">
        <f t="shared" si="2"/>
        <v>0.5</v>
      </c>
      <c r="O1001" s="11" t="str">
        <f t="shared" si="3"/>
        <v/>
      </c>
      <c r="P1001" s="12">
        <f t="shared" si="4"/>
        <v>8858.7</v>
      </c>
    </row>
    <row r="1002" ht="12.75" customHeight="1">
      <c r="A1002" s="3" t="s">
        <v>1341</v>
      </c>
      <c r="B1002" s="3" t="s">
        <v>943</v>
      </c>
      <c r="C1002" s="3" t="s">
        <v>57</v>
      </c>
      <c r="D1002" s="3" t="s">
        <v>19</v>
      </c>
      <c r="E1002" s="3" t="s">
        <v>58</v>
      </c>
      <c r="F1002" s="3" t="s">
        <v>21</v>
      </c>
      <c r="G1002" s="3" t="s">
        <v>12</v>
      </c>
      <c r="H1002" s="3">
        <v>12373.0</v>
      </c>
      <c r="I1002" s="3" t="s">
        <v>37</v>
      </c>
      <c r="J1002" s="3">
        <v>0.1</v>
      </c>
      <c r="K1002" s="3">
        <v>13000.0</v>
      </c>
      <c r="L1002" s="3" t="s">
        <v>80</v>
      </c>
      <c r="M1002" s="3" t="str">
        <f t="shared" si="1"/>
        <v>Below Target</v>
      </c>
      <c r="N1002" s="10">
        <f t="shared" si="2"/>
        <v>0</v>
      </c>
      <c r="O1002" s="11">
        <f t="shared" si="3"/>
        <v>0.1</v>
      </c>
      <c r="P1002" s="12">
        <f t="shared" si="4"/>
        <v>11135.7</v>
      </c>
    </row>
  </sheetData>
  <customSheetViews>
    <customSheetView guid="{0EE7A2B2-B2CC-434A-B8DA-1DB152EBD244}" filter="1" showAutoFilter="1">
      <autoFilter ref="$A$2:$P$1002"/>
      <extLst>
        <ext uri="GoogleSheetsCustomDataVersion1">
          <go:sheetsCustomData xmlns:go="http://customooxmlschemas.google.com/" filterViewId="1583849389"/>
        </ext>
      </extLst>
    </customSheetView>
  </customSheetViews>
  <mergeCells count="6">
    <mergeCell ref="M1:N1"/>
    <mergeCell ref="S17:X17"/>
    <mergeCell ref="S21:X21"/>
    <mergeCell ref="S26:Z26"/>
    <mergeCell ref="S36:AD36"/>
    <mergeCell ref="S53:V53"/>
  </mergeCells>
  <printOptions/>
  <pageMargins bottom="0.75" footer="0.0" header="0.0" left="0.7" right="0.7" top="0.75"/>
  <pageSetup orientation="landscape"/>
  <headerFooter>
    <oddHeader>&amp;C&amp;A</oddHeader>
    <oddFooter>&amp;CPage &amp;P</oddFooter>
  </headerFooter>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P1" s="2"/>
      <c r="Q1" s="2"/>
      <c r="R1" s="2"/>
      <c r="S1" s="2"/>
      <c r="T1" s="2"/>
      <c r="U1" s="2"/>
      <c r="V1" s="2"/>
      <c r="W1" s="2"/>
      <c r="X1" s="2"/>
    </row>
    <row r="2">
      <c r="A2" s="2" t="s">
        <v>1</v>
      </c>
      <c r="B2" s="2" t="s">
        <v>3</v>
      </c>
      <c r="C2" s="2" t="s">
        <v>4</v>
      </c>
      <c r="D2" s="2" t="s">
        <v>5</v>
      </c>
      <c r="E2" s="2" t="s">
        <v>6</v>
      </c>
      <c r="F2" s="2" t="s">
        <v>7</v>
      </c>
      <c r="G2" s="2" t="s">
        <v>8</v>
      </c>
      <c r="H2" s="2" t="s">
        <v>9</v>
      </c>
      <c r="I2" s="2" t="s">
        <v>10</v>
      </c>
      <c r="L2" s="2" t="s">
        <v>1</v>
      </c>
      <c r="M2" s="2" t="s">
        <v>3</v>
      </c>
      <c r="N2" s="2" t="s">
        <v>4</v>
      </c>
      <c r="O2" s="2" t="s">
        <v>5</v>
      </c>
      <c r="P2" s="2" t="s">
        <v>6</v>
      </c>
      <c r="Q2" s="2" t="s">
        <v>7</v>
      </c>
      <c r="R2" s="2" t="s">
        <v>8</v>
      </c>
      <c r="S2" s="2" t="s">
        <v>9</v>
      </c>
      <c r="T2" s="2" t="s">
        <v>10</v>
      </c>
    </row>
    <row r="3">
      <c r="A3" s="4" t="s">
        <v>15</v>
      </c>
      <c r="B3" s="4" t="s">
        <v>17</v>
      </c>
      <c r="C3" s="4" t="s">
        <v>18</v>
      </c>
      <c r="D3" s="4" t="s">
        <v>16</v>
      </c>
      <c r="E3" s="4" t="s">
        <v>20</v>
      </c>
      <c r="F3" s="4" t="s">
        <v>21</v>
      </c>
      <c r="G3" s="4" t="s">
        <v>13</v>
      </c>
      <c r="H3" s="5">
        <v>12914.0</v>
      </c>
      <c r="I3" s="4" t="s">
        <v>23</v>
      </c>
      <c r="L3" s="4" t="s">
        <v>15</v>
      </c>
      <c r="M3" s="3" t="str">
        <f>IFERROR(__xludf.DUMMYFUNCTION("FILTER(B:I,A:A=L3)"),"Rohit Shah")</f>
        <v>Rohit Shah</v>
      </c>
      <c r="N3" s="3" t="str">
        <f>IFERROR(__xludf.DUMMYFUNCTION("""COMPUTED_VALUE"""),"C201")</f>
        <v>C201</v>
      </c>
      <c r="O3" s="3" t="str">
        <f>IFERROR(__xludf.DUMMYFUNCTION("""COMPUTED_VALUE"""),"Data Analytics")</f>
        <v>Data Analytics</v>
      </c>
      <c r="P3" s="3" t="str">
        <f>IFERROR(__xludf.DUMMYFUNCTION("""COMPUTED_VALUE"""),"B3")</f>
        <v>B3</v>
      </c>
      <c r="Q3" s="3" t="str">
        <f>IFERROR(__xludf.DUMMYFUNCTION("""COMPUTED_VALUE"""),"Priya")</f>
        <v>Priya</v>
      </c>
      <c r="R3" s="3" t="str">
        <f>IFERROR(__xludf.DUMMYFUNCTION("""COMPUTED_VALUE"""),"Web")</f>
        <v>Web</v>
      </c>
      <c r="S3" s="3">
        <f>IFERROR(__xludf.DUMMYFUNCTION("""COMPUTED_VALUE"""),12914.0)</f>
        <v>12914</v>
      </c>
      <c r="T3" s="3" t="str">
        <f>IFERROR(__xludf.DUMMYFUNCTION("""COMPUTED_VALUE"""),"DISC20")</f>
        <v>DISC20</v>
      </c>
    </row>
    <row r="4">
      <c r="A4" s="4" t="s">
        <v>35</v>
      </c>
      <c r="B4" s="4" t="s">
        <v>36</v>
      </c>
      <c r="C4" s="4" t="s">
        <v>18</v>
      </c>
      <c r="D4" s="4" t="s">
        <v>16</v>
      </c>
      <c r="E4" s="4" t="s">
        <v>20</v>
      </c>
      <c r="F4" s="4" t="s">
        <v>21</v>
      </c>
      <c r="G4" s="4" t="s">
        <v>13</v>
      </c>
      <c r="H4" s="5">
        <v>12122.0</v>
      </c>
      <c r="I4" s="4" t="s">
        <v>37</v>
      </c>
      <c r="L4" s="4" t="s">
        <v>35</v>
      </c>
      <c r="M4" s="3" t="str">
        <f>IFERROR(__xludf.DUMMYFUNCTION("FILTER(B:I,A:A=L4)"),"Riya Singh")</f>
        <v>Riya Singh</v>
      </c>
      <c r="N4" s="3" t="str">
        <f>IFERROR(__xludf.DUMMYFUNCTION("""COMPUTED_VALUE"""),"C201")</f>
        <v>C201</v>
      </c>
      <c r="O4" s="3" t="str">
        <f>IFERROR(__xludf.DUMMYFUNCTION("""COMPUTED_VALUE"""),"Data Analytics")</f>
        <v>Data Analytics</v>
      </c>
      <c r="P4" s="3" t="str">
        <f>IFERROR(__xludf.DUMMYFUNCTION("""COMPUTED_VALUE"""),"B3")</f>
        <v>B3</v>
      </c>
      <c r="Q4" s="3" t="str">
        <f>IFERROR(__xludf.DUMMYFUNCTION("""COMPUTED_VALUE"""),"Priya")</f>
        <v>Priya</v>
      </c>
      <c r="R4" s="3" t="str">
        <f>IFERROR(__xludf.DUMMYFUNCTION("""COMPUTED_VALUE"""),"Web")</f>
        <v>Web</v>
      </c>
      <c r="S4" s="3">
        <f>IFERROR(__xludf.DUMMYFUNCTION("""COMPUTED_VALUE"""),12122.0)</f>
        <v>12122</v>
      </c>
      <c r="T4" s="3" t="str">
        <f>IFERROR(__xludf.DUMMYFUNCTION("""COMPUTED_VALUE"""),"DISC10")</f>
        <v>DISC10</v>
      </c>
    </row>
    <row r="5">
      <c r="A5" s="4" t="s">
        <v>39</v>
      </c>
      <c r="B5" s="4" t="s">
        <v>40</v>
      </c>
      <c r="C5" s="4" t="s">
        <v>18</v>
      </c>
      <c r="D5" s="4" t="s">
        <v>16</v>
      </c>
      <c r="E5" s="4" t="s">
        <v>20</v>
      </c>
      <c r="F5" s="4" t="s">
        <v>41</v>
      </c>
      <c r="G5" s="4" t="s">
        <v>12</v>
      </c>
      <c r="H5" s="5">
        <v>14661.0</v>
      </c>
      <c r="I5" s="4" t="s">
        <v>42</v>
      </c>
    </row>
    <row r="6">
      <c r="A6" s="4" t="s">
        <v>43</v>
      </c>
      <c r="B6" s="4" t="s">
        <v>44</v>
      </c>
      <c r="C6" s="4" t="s">
        <v>45</v>
      </c>
      <c r="D6" s="4" t="s">
        <v>22</v>
      </c>
      <c r="E6" s="4" t="s">
        <v>46</v>
      </c>
      <c r="F6" s="4" t="s">
        <v>41</v>
      </c>
      <c r="G6" s="4" t="s">
        <v>12</v>
      </c>
      <c r="H6" s="5">
        <v>16731.0</v>
      </c>
      <c r="I6" s="4" t="s">
        <v>47</v>
      </c>
    </row>
    <row r="7">
      <c r="A7" s="4" t="s">
        <v>48</v>
      </c>
      <c r="B7" s="4" t="s">
        <v>49</v>
      </c>
      <c r="C7" s="4" t="s">
        <v>45</v>
      </c>
      <c r="D7" s="4" t="s">
        <v>22</v>
      </c>
      <c r="E7" s="4" t="s">
        <v>46</v>
      </c>
      <c r="F7" s="4" t="s">
        <v>41</v>
      </c>
      <c r="G7" s="4" t="s">
        <v>11</v>
      </c>
      <c r="H7" s="5">
        <v>15396.0</v>
      </c>
      <c r="I7" s="4" t="s">
        <v>47</v>
      </c>
    </row>
    <row r="8">
      <c r="A8" s="4" t="s">
        <v>50</v>
      </c>
      <c r="B8" s="4" t="s">
        <v>51</v>
      </c>
      <c r="C8" s="4" t="s">
        <v>45</v>
      </c>
      <c r="D8" s="4" t="s">
        <v>22</v>
      </c>
      <c r="E8" s="4" t="s">
        <v>46</v>
      </c>
      <c r="F8" s="4" t="s">
        <v>52</v>
      </c>
      <c r="G8" s="4" t="s">
        <v>11</v>
      </c>
      <c r="H8" s="5">
        <v>17196.0</v>
      </c>
      <c r="I8" s="4" t="s">
        <v>37</v>
      </c>
    </row>
    <row r="9">
      <c r="A9" s="4" t="s">
        <v>53</v>
      </c>
      <c r="B9" s="4" t="s">
        <v>54</v>
      </c>
      <c r="C9" s="4" t="s">
        <v>45</v>
      </c>
      <c r="D9" s="4" t="s">
        <v>22</v>
      </c>
      <c r="E9" s="4" t="s">
        <v>20</v>
      </c>
      <c r="F9" s="4" t="s">
        <v>52</v>
      </c>
      <c r="G9" s="4" t="s">
        <v>11</v>
      </c>
      <c r="H9" s="5">
        <v>17364.0</v>
      </c>
      <c r="I9" s="4" t="s">
        <v>23</v>
      </c>
    </row>
    <row r="10">
      <c r="A10" s="4" t="s">
        <v>55</v>
      </c>
      <c r="B10" s="4" t="s">
        <v>56</v>
      </c>
      <c r="C10" s="4" t="s">
        <v>57</v>
      </c>
      <c r="D10" s="4" t="s">
        <v>19</v>
      </c>
      <c r="E10" s="4" t="s">
        <v>58</v>
      </c>
      <c r="F10" s="4" t="s">
        <v>41</v>
      </c>
      <c r="G10" s="4" t="s">
        <v>13</v>
      </c>
      <c r="H10" s="5">
        <v>14549.0</v>
      </c>
      <c r="I10" s="4" t="s">
        <v>37</v>
      </c>
    </row>
    <row r="11">
      <c r="A11" s="4" t="s">
        <v>59</v>
      </c>
      <c r="B11" s="4" t="s">
        <v>60</v>
      </c>
      <c r="C11" s="4" t="s">
        <v>45</v>
      </c>
      <c r="D11" s="4" t="s">
        <v>22</v>
      </c>
      <c r="E11" s="4" t="s">
        <v>46</v>
      </c>
      <c r="F11" s="4" t="s">
        <v>21</v>
      </c>
      <c r="G11" s="4" t="s">
        <v>11</v>
      </c>
      <c r="H11" s="5">
        <v>15858.0</v>
      </c>
      <c r="I11" s="4" t="s">
        <v>47</v>
      </c>
    </row>
    <row r="12">
      <c r="A12" s="4" t="s">
        <v>61</v>
      </c>
      <c r="B12" s="4" t="s">
        <v>62</v>
      </c>
      <c r="C12" s="4" t="s">
        <v>18</v>
      </c>
      <c r="D12" s="4" t="s">
        <v>16</v>
      </c>
      <c r="E12" s="4" t="s">
        <v>20</v>
      </c>
      <c r="F12" s="4" t="s">
        <v>52</v>
      </c>
      <c r="G12" s="4" t="s">
        <v>13</v>
      </c>
      <c r="H12" s="5">
        <v>14187.0</v>
      </c>
      <c r="I12" s="4" t="s">
        <v>23</v>
      </c>
    </row>
    <row r="13">
      <c r="A13" s="4" t="s">
        <v>63</v>
      </c>
      <c r="B13" s="4" t="s">
        <v>64</v>
      </c>
      <c r="C13" s="4" t="s">
        <v>45</v>
      </c>
      <c r="D13" s="4" t="s">
        <v>22</v>
      </c>
      <c r="E13" s="4" t="s">
        <v>20</v>
      </c>
      <c r="F13" s="4" t="s">
        <v>52</v>
      </c>
      <c r="G13" s="4" t="s">
        <v>12</v>
      </c>
      <c r="H13" s="5">
        <v>15899.0</v>
      </c>
      <c r="I13" s="4" t="s">
        <v>47</v>
      </c>
    </row>
    <row r="14">
      <c r="A14" s="4" t="s">
        <v>66</v>
      </c>
      <c r="B14" s="4" t="s">
        <v>67</v>
      </c>
      <c r="C14" s="4" t="s">
        <v>18</v>
      </c>
      <c r="D14" s="4" t="s">
        <v>16</v>
      </c>
      <c r="E14" s="4" t="s">
        <v>46</v>
      </c>
      <c r="F14" s="4" t="s">
        <v>41</v>
      </c>
      <c r="G14" s="4" t="s">
        <v>11</v>
      </c>
      <c r="H14" s="5">
        <v>13643.0</v>
      </c>
      <c r="I14" s="4" t="s">
        <v>47</v>
      </c>
    </row>
    <row r="15">
      <c r="A15" s="4" t="s">
        <v>69</v>
      </c>
      <c r="B15" s="4" t="s">
        <v>70</v>
      </c>
      <c r="C15" s="4" t="s">
        <v>45</v>
      </c>
      <c r="D15" s="4" t="s">
        <v>22</v>
      </c>
      <c r="E15" s="4" t="s">
        <v>46</v>
      </c>
      <c r="F15" s="4" t="s">
        <v>52</v>
      </c>
      <c r="G15" s="4" t="s">
        <v>11</v>
      </c>
      <c r="H15" s="5">
        <v>16620.0</v>
      </c>
      <c r="I15" s="4"/>
    </row>
    <row r="16">
      <c r="A16" s="4" t="s">
        <v>71</v>
      </c>
      <c r="B16" s="4" t="s">
        <v>72</v>
      </c>
      <c r="C16" s="4" t="s">
        <v>57</v>
      </c>
      <c r="D16" s="4" t="s">
        <v>19</v>
      </c>
      <c r="E16" s="4" t="s">
        <v>20</v>
      </c>
      <c r="F16" s="4" t="s">
        <v>52</v>
      </c>
      <c r="G16" s="4" t="s">
        <v>12</v>
      </c>
      <c r="H16" s="5">
        <v>12076.0</v>
      </c>
      <c r="I16" s="4" t="s">
        <v>42</v>
      </c>
    </row>
    <row r="17">
      <c r="A17" s="4" t="s">
        <v>74</v>
      </c>
      <c r="B17" s="4" t="s">
        <v>75</v>
      </c>
      <c r="C17" s="4" t="s">
        <v>76</v>
      </c>
      <c r="D17" s="4" t="s">
        <v>24</v>
      </c>
      <c r="E17" s="4" t="s">
        <v>58</v>
      </c>
      <c r="F17" s="4" t="s">
        <v>41</v>
      </c>
      <c r="G17" s="4" t="s">
        <v>13</v>
      </c>
      <c r="H17" s="5">
        <v>9087.0</v>
      </c>
      <c r="I17" s="4"/>
    </row>
    <row r="18">
      <c r="A18" s="4" t="s">
        <v>78</v>
      </c>
      <c r="B18" s="4" t="s">
        <v>79</v>
      </c>
      <c r="C18" s="4" t="s">
        <v>18</v>
      </c>
      <c r="D18" s="4" t="s">
        <v>16</v>
      </c>
      <c r="E18" s="4" t="s">
        <v>46</v>
      </c>
      <c r="F18" s="4" t="s">
        <v>52</v>
      </c>
      <c r="G18" s="4" t="s">
        <v>13</v>
      </c>
      <c r="H18" s="5">
        <v>15244.0</v>
      </c>
      <c r="I18" s="4"/>
    </row>
    <row r="19">
      <c r="A19" s="4" t="s">
        <v>81</v>
      </c>
      <c r="B19" s="4" t="s">
        <v>82</v>
      </c>
      <c r="C19" s="4" t="s">
        <v>76</v>
      </c>
      <c r="D19" s="4" t="s">
        <v>24</v>
      </c>
      <c r="E19" s="4" t="s">
        <v>20</v>
      </c>
      <c r="F19" s="4" t="s">
        <v>21</v>
      </c>
      <c r="G19" s="4" t="s">
        <v>12</v>
      </c>
      <c r="H19" s="5">
        <v>8029.0</v>
      </c>
      <c r="I19" s="4" t="s">
        <v>42</v>
      </c>
    </row>
    <row r="20">
      <c r="A20" s="4" t="s">
        <v>84</v>
      </c>
      <c r="B20" s="4" t="s">
        <v>85</v>
      </c>
      <c r="C20" s="4" t="s">
        <v>18</v>
      </c>
      <c r="D20" s="4" t="s">
        <v>16</v>
      </c>
      <c r="E20" s="4" t="s">
        <v>20</v>
      </c>
      <c r="F20" s="4" t="s">
        <v>52</v>
      </c>
      <c r="G20" s="4" t="s">
        <v>11</v>
      </c>
      <c r="H20" s="5">
        <v>15148.0</v>
      </c>
      <c r="I20" s="4" t="s">
        <v>47</v>
      </c>
    </row>
    <row r="21">
      <c r="A21" s="4" t="s">
        <v>87</v>
      </c>
      <c r="B21" s="4" t="s">
        <v>89</v>
      </c>
      <c r="C21" s="4" t="s">
        <v>57</v>
      </c>
      <c r="D21" s="4" t="s">
        <v>19</v>
      </c>
      <c r="E21" s="4" t="s">
        <v>58</v>
      </c>
      <c r="F21" s="4" t="s">
        <v>41</v>
      </c>
      <c r="G21" s="4" t="s">
        <v>12</v>
      </c>
      <c r="H21" s="5">
        <v>14587.0</v>
      </c>
      <c r="I21" s="4" t="s">
        <v>47</v>
      </c>
    </row>
    <row r="22">
      <c r="A22" s="4" t="s">
        <v>91</v>
      </c>
      <c r="B22" s="4" t="s">
        <v>92</v>
      </c>
      <c r="C22" s="4" t="s">
        <v>18</v>
      </c>
      <c r="D22" s="4" t="s">
        <v>16</v>
      </c>
      <c r="E22" s="4" t="s">
        <v>20</v>
      </c>
      <c r="F22" s="4" t="s">
        <v>21</v>
      </c>
      <c r="G22" s="4" t="s">
        <v>12</v>
      </c>
      <c r="H22" s="5">
        <v>14079.0</v>
      </c>
      <c r="I22" s="4" t="s">
        <v>42</v>
      </c>
    </row>
    <row r="23">
      <c r="A23" s="4" t="s">
        <v>97</v>
      </c>
      <c r="B23" s="4" t="s">
        <v>98</v>
      </c>
      <c r="C23" s="4" t="s">
        <v>57</v>
      </c>
      <c r="D23" s="4" t="s">
        <v>19</v>
      </c>
      <c r="E23" s="4" t="s">
        <v>20</v>
      </c>
      <c r="F23" s="4" t="s">
        <v>52</v>
      </c>
      <c r="G23" s="4" t="s">
        <v>13</v>
      </c>
      <c r="H23" s="5">
        <v>13453.0</v>
      </c>
      <c r="I23" s="4" t="s">
        <v>47</v>
      </c>
    </row>
    <row r="24">
      <c r="A24" s="4" t="s">
        <v>99</v>
      </c>
      <c r="B24" s="4" t="s">
        <v>100</v>
      </c>
      <c r="C24" s="4" t="s">
        <v>45</v>
      </c>
      <c r="D24" s="4" t="s">
        <v>22</v>
      </c>
      <c r="E24" s="4" t="s">
        <v>58</v>
      </c>
      <c r="F24" s="4" t="s">
        <v>41</v>
      </c>
      <c r="G24" s="4" t="s">
        <v>13</v>
      </c>
      <c r="H24" s="5">
        <v>15986.0</v>
      </c>
      <c r="I24" s="4" t="s">
        <v>42</v>
      </c>
    </row>
    <row r="25">
      <c r="A25" s="4" t="s">
        <v>101</v>
      </c>
      <c r="B25" s="4" t="s">
        <v>102</v>
      </c>
      <c r="C25" s="4" t="s">
        <v>76</v>
      </c>
      <c r="D25" s="4" t="s">
        <v>24</v>
      </c>
      <c r="E25" s="4" t="s">
        <v>46</v>
      </c>
      <c r="F25" s="4" t="s">
        <v>52</v>
      </c>
      <c r="G25" s="4" t="s">
        <v>13</v>
      </c>
      <c r="H25" s="5">
        <v>7525.0</v>
      </c>
      <c r="I25" s="4"/>
    </row>
    <row r="26">
      <c r="A26" s="4" t="s">
        <v>104</v>
      </c>
      <c r="B26" s="4" t="s">
        <v>105</v>
      </c>
      <c r="C26" s="4" t="s">
        <v>45</v>
      </c>
      <c r="D26" s="4" t="s">
        <v>22</v>
      </c>
      <c r="E26" s="4" t="s">
        <v>20</v>
      </c>
      <c r="F26" s="4" t="s">
        <v>52</v>
      </c>
      <c r="G26" s="4" t="s">
        <v>11</v>
      </c>
      <c r="H26" s="5">
        <v>18950.0</v>
      </c>
      <c r="I26" s="4" t="s">
        <v>23</v>
      </c>
    </row>
    <row r="27">
      <c r="A27" s="4" t="s">
        <v>107</v>
      </c>
      <c r="B27" s="4" t="s">
        <v>108</v>
      </c>
      <c r="C27" s="4" t="s">
        <v>57</v>
      </c>
      <c r="D27" s="4" t="s">
        <v>19</v>
      </c>
      <c r="E27" s="4" t="s">
        <v>20</v>
      </c>
      <c r="F27" s="4" t="s">
        <v>21</v>
      </c>
      <c r="G27" s="4" t="s">
        <v>11</v>
      </c>
      <c r="H27" s="5">
        <v>13751.0</v>
      </c>
      <c r="I27" s="4" t="s">
        <v>47</v>
      </c>
    </row>
    <row r="28">
      <c r="A28" s="4" t="s">
        <v>110</v>
      </c>
      <c r="B28" s="4" t="s">
        <v>111</v>
      </c>
      <c r="C28" s="4" t="s">
        <v>76</v>
      </c>
      <c r="D28" s="4" t="s">
        <v>24</v>
      </c>
      <c r="E28" s="4" t="s">
        <v>46</v>
      </c>
      <c r="F28" s="4" t="s">
        <v>41</v>
      </c>
      <c r="G28" s="4" t="s">
        <v>13</v>
      </c>
      <c r="H28" s="5">
        <v>7262.0</v>
      </c>
      <c r="I28" s="4" t="s">
        <v>47</v>
      </c>
    </row>
    <row r="29">
      <c r="A29" s="4" t="s">
        <v>112</v>
      </c>
      <c r="B29" s="4" t="s">
        <v>113</v>
      </c>
      <c r="C29" s="4" t="s">
        <v>57</v>
      </c>
      <c r="D29" s="4" t="s">
        <v>19</v>
      </c>
      <c r="E29" s="4" t="s">
        <v>20</v>
      </c>
      <c r="F29" s="4" t="s">
        <v>41</v>
      </c>
      <c r="G29" s="4" t="s">
        <v>13</v>
      </c>
      <c r="H29" s="5">
        <v>11290.0</v>
      </c>
      <c r="I29" s="4" t="s">
        <v>37</v>
      </c>
    </row>
    <row r="30">
      <c r="A30" s="4" t="s">
        <v>115</v>
      </c>
      <c r="B30" s="4" t="s">
        <v>56</v>
      </c>
      <c r="C30" s="4" t="s">
        <v>45</v>
      </c>
      <c r="D30" s="4" t="s">
        <v>22</v>
      </c>
      <c r="E30" s="4" t="s">
        <v>46</v>
      </c>
      <c r="F30" s="4" t="s">
        <v>52</v>
      </c>
      <c r="G30" s="4" t="s">
        <v>13</v>
      </c>
      <c r="H30" s="5">
        <v>16140.0</v>
      </c>
      <c r="I30" s="4"/>
    </row>
    <row r="31">
      <c r="A31" s="4" t="s">
        <v>116</v>
      </c>
      <c r="B31" s="4" t="s">
        <v>105</v>
      </c>
      <c r="C31" s="4" t="s">
        <v>76</v>
      </c>
      <c r="D31" s="4" t="s">
        <v>24</v>
      </c>
      <c r="E31" s="4" t="s">
        <v>46</v>
      </c>
      <c r="F31" s="4" t="s">
        <v>21</v>
      </c>
      <c r="G31" s="4" t="s">
        <v>11</v>
      </c>
      <c r="H31" s="5">
        <v>7779.0</v>
      </c>
      <c r="I31" s="4" t="s">
        <v>37</v>
      </c>
    </row>
    <row r="32">
      <c r="A32" s="4" t="s">
        <v>118</v>
      </c>
      <c r="B32" s="4" t="s">
        <v>119</v>
      </c>
      <c r="C32" s="4" t="s">
        <v>45</v>
      </c>
      <c r="D32" s="4" t="s">
        <v>22</v>
      </c>
      <c r="E32" s="4" t="s">
        <v>58</v>
      </c>
      <c r="F32" s="4" t="s">
        <v>21</v>
      </c>
      <c r="G32" s="4" t="s">
        <v>11</v>
      </c>
      <c r="H32" s="5">
        <v>18538.0</v>
      </c>
      <c r="I32" s="4" t="s">
        <v>37</v>
      </c>
    </row>
    <row r="33">
      <c r="A33" s="4" t="s">
        <v>121</v>
      </c>
      <c r="B33" s="4" t="s">
        <v>122</v>
      </c>
      <c r="C33" s="4" t="s">
        <v>18</v>
      </c>
      <c r="D33" s="4" t="s">
        <v>16</v>
      </c>
      <c r="E33" s="4" t="s">
        <v>46</v>
      </c>
      <c r="F33" s="4" t="s">
        <v>21</v>
      </c>
      <c r="G33" s="4" t="s">
        <v>12</v>
      </c>
      <c r="H33" s="5">
        <v>13389.0</v>
      </c>
      <c r="I33" s="4" t="s">
        <v>37</v>
      </c>
    </row>
    <row r="34">
      <c r="A34" s="4" t="s">
        <v>124</v>
      </c>
      <c r="B34" s="4" t="s">
        <v>125</v>
      </c>
      <c r="C34" s="4" t="s">
        <v>76</v>
      </c>
      <c r="D34" s="4" t="s">
        <v>24</v>
      </c>
      <c r="E34" s="4" t="s">
        <v>46</v>
      </c>
      <c r="F34" s="4" t="s">
        <v>21</v>
      </c>
      <c r="G34" s="4" t="s">
        <v>13</v>
      </c>
      <c r="H34" s="5">
        <v>8140.0</v>
      </c>
      <c r="I34" s="4"/>
    </row>
    <row r="35">
      <c r="A35" s="4" t="s">
        <v>126</v>
      </c>
      <c r="B35" s="4" t="s">
        <v>127</v>
      </c>
      <c r="C35" s="4" t="s">
        <v>76</v>
      </c>
      <c r="D35" s="4" t="s">
        <v>24</v>
      </c>
      <c r="E35" s="4" t="s">
        <v>20</v>
      </c>
      <c r="F35" s="4" t="s">
        <v>41</v>
      </c>
      <c r="G35" s="4" t="s">
        <v>13</v>
      </c>
      <c r="H35" s="5">
        <v>9671.0</v>
      </c>
      <c r="I35" s="4" t="s">
        <v>42</v>
      </c>
    </row>
    <row r="36">
      <c r="A36" s="4" t="s">
        <v>129</v>
      </c>
      <c r="B36" s="4" t="s">
        <v>100</v>
      </c>
      <c r="C36" s="4" t="s">
        <v>57</v>
      </c>
      <c r="D36" s="4" t="s">
        <v>19</v>
      </c>
      <c r="E36" s="4" t="s">
        <v>46</v>
      </c>
      <c r="F36" s="4" t="s">
        <v>21</v>
      </c>
      <c r="G36" s="4" t="s">
        <v>11</v>
      </c>
      <c r="H36" s="5">
        <v>12971.0</v>
      </c>
      <c r="I36" s="4" t="s">
        <v>23</v>
      </c>
    </row>
    <row r="37">
      <c r="A37" s="4" t="s">
        <v>131</v>
      </c>
      <c r="B37" s="4" t="s">
        <v>132</v>
      </c>
      <c r="C37" s="4" t="s">
        <v>57</v>
      </c>
      <c r="D37" s="4" t="s">
        <v>19</v>
      </c>
      <c r="E37" s="4" t="s">
        <v>58</v>
      </c>
      <c r="F37" s="4" t="s">
        <v>41</v>
      </c>
      <c r="G37" s="4" t="s">
        <v>11</v>
      </c>
      <c r="H37" s="5">
        <v>12086.0</v>
      </c>
      <c r="I37" s="4"/>
    </row>
    <row r="38">
      <c r="A38" s="4" t="s">
        <v>133</v>
      </c>
      <c r="B38" s="4" t="s">
        <v>134</v>
      </c>
      <c r="C38" s="4" t="s">
        <v>76</v>
      </c>
      <c r="D38" s="4" t="s">
        <v>24</v>
      </c>
      <c r="E38" s="4" t="s">
        <v>46</v>
      </c>
      <c r="F38" s="4" t="s">
        <v>41</v>
      </c>
      <c r="G38" s="4" t="s">
        <v>11</v>
      </c>
      <c r="H38" s="5">
        <v>7891.0</v>
      </c>
      <c r="I38" s="4" t="s">
        <v>37</v>
      </c>
    </row>
    <row r="39">
      <c r="A39" s="4" t="s">
        <v>135</v>
      </c>
      <c r="B39" s="4" t="s">
        <v>136</v>
      </c>
      <c r="C39" s="4" t="s">
        <v>18</v>
      </c>
      <c r="D39" s="4" t="s">
        <v>16</v>
      </c>
      <c r="E39" s="4" t="s">
        <v>20</v>
      </c>
      <c r="F39" s="4" t="s">
        <v>21</v>
      </c>
      <c r="G39" s="4" t="s">
        <v>13</v>
      </c>
      <c r="H39" s="5">
        <v>12205.0</v>
      </c>
      <c r="I39" s="4" t="s">
        <v>42</v>
      </c>
    </row>
    <row r="40">
      <c r="A40" s="4" t="s">
        <v>137</v>
      </c>
      <c r="B40" s="4" t="s">
        <v>138</v>
      </c>
      <c r="C40" s="4" t="s">
        <v>57</v>
      </c>
      <c r="D40" s="4" t="s">
        <v>19</v>
      </c>
      <c r="E40" s="4" t="s">
        <v>46</v>
      </c>
      <c r="F40" s="4" t="s">
        <v>52</v>
      </c>
      <c r="G40" s="4" t="s">
        <v>13</v>
      </c>
      <c r="H40" s="5">
        <v>14487.0</v>
      </c>
      <c r="I40" s="4" t="s">
        <v>23</v>
      </c>
    </row>
    <row r="41">
      <c r="A41" s="4" t="s">
        <v>140</v>
      </c>
      <c r="B41" s="4" t="s">
        <v>141</v>
      </c>
      <c r="C41" s="4" t="s">
        <v>57</v>
      </c>
      <c r="D41" s="4" t="s">
        <v>19</v>
      </c>
      <c r="E41" s="4" t="s">
        <v>58</v>
      </c>
      <c r="F41" s="4" t="s">
        <v>41</v>
      </c>
      <c r="G41" s="4" t="s">
        <v>12</v>
      </c>
      <c r="H41" s="5">
        <v>12008.0</v>
      </c>
      <c r="I41" s="4" t="s">
        <v>42</v>
      </c>
    </row>
    <row r="42">
      <c r="A42" s="4" t="s">
        <v>142</v>
      </c>
      <c r="B42" s="4" t="s">
        <v>143</v>
      </c>
      <c r="C42" s="4" t="s">
        <v>18</v>
      </c>
      <c r="D42" s="4" t="s">
        <v>16</v>
      </c>
      <c r="E42" s="4" t="s">
        <v>58</v>
      </c>
      <c r="F42" s="4" t="s">
        <v>52</v>
      </c>
      <c r="G42" s="4" t="s">
        <v>12</v>
      </c>
      <c r="H42" s="5">
        <v>14315.0</v>
      </c>
      <c r="I42" s="4" t="s">
        <v>42</v>
      </c>
    </row>
    <row r="43">
      <c r="A43" s="4" t="s">
        <v>144</v>
      </c>
      <c r="B43" s="4" t="s">
        <v>145</v>
      </c>
      <c r="C43" s="4" t="s">
        <v>57</v>
      </c>
      <c r="D43" s="4" t="s">
        <v>19</v>
      </c>
      <c r="E43" s="4" t="s">
        <v>20</v>
      </c>
      <c r="F43" s="4" t="s">
        <v>52</v>
      </c>
      <c r="G43" s="4" t="s">
        <v>11</v>
      </c>
      <c r="H43" s="5">
        <v>11977.0</v>
      </c>
      <c r="I43" s="4" t="s">
        <v>47</v>
      </c>
    </row>
    <row r="44">
      <c r="A44" s="4" t="s">
        <v>146</v>
      </c>
      <c r="B44" s="4" t="s">
        <v>148</v>
      </c>
      <c r="C44" s="4" t="s">
        <v>45</v>
      </c>
      <c r="D44" s="4" t="s">
        <v>22</v>
      </c>
      <c r="E44" s="4" t="s">
        <v>58</v>
      </c>
      <c r="F44" s="4" t="s">
        <v>21</v>
      </c>
      <c r="G44" s="4" t="s">
        <v>13</v>
      </c>
      <c r="H44" s="5">
        <v>15038.0</v>
      </c>
      <c r="I44" s="4"/>
    </row>
    <row r="45">
      <c r="A45" s="4" t="s">
        <v>149</v>
      </c>
      <c r="B45" s="4" t="s">
        <v>141</v>
      </c>
      <c r="C45" s="4" t="s">
        <v>18</v>
      </c>
      <c r="D45" s="4" t="s">
        <v>16</v>
      </c>
      <c r="E45" s="4" t="s">
        <v>20</v>
      </c>
      <c r="F45" s="4" t="s">
        <v>41</v>
      </c>
      <c r="G45" s="4" t="s">
        <v>12</v>
      </c>
      <c r="H45" s="5">
        <v>13086.0</v>
      </c>
      <c r="I45" s="4" t="s">
        <v>23</v>
      </c>
    </row>
    <row r="46">
      <c r="A46" s="4" t="s">
        <v>151</v>
      </c>
      <c r="B46" s="4" t="s">
        <v>152</v>
      </c>
      <c r="C46" s="4" t="s">
        <v>57</v>
      </c>
      <c r="D46" s="4" t="s">
        <v>19</v>
      </c>
      <c r="E46" s="4" t="s">
        <v>58</v>
      </c>
      <c r="F46" s="4" t="s">
        <v>21</v>
      </c>
      <c r="G46" s="4" t="s">
        <v>13</v>
      </c>
      <c r="H46" s="5">
        <v>12794.0</v>
      </c>
      <c r="I46" s="4" t="s">
        <v>42</v>
      </c>
    </row>
    <row r="47">
      <c r="A47" s="4" t="s">
        <v>153</v>
      </c>
      <c r="B47" s="4" t="s">
        <v>154</v>
      </c>
      <c r="C47" s="4" t="s">
        <v>18</v>
      </c>
      <c r="D47" s="4" t="s">
        <v>16</v>
      </c>
      <c r="E47" s="4" t="s">
        <v>20</v>
      </c>
      <c r="F47" s="4" t="s">
        <v>52</v>
      </c>
      <c r="G47" s="4" t="s">
        <v>11</v>
      </c>
      <c r="H47" s="5">
        <v>15816.0</v>
      </c>
      <c r="I47" s="4" t="s">
        <v>37</v>
      </c>
    </row>
    <row r="48">
      <c r="A48" s="4" t="s">
        <v>156</v>
      </c>
      <c r="B48" s="4" t="s">
        <v>157</v>
      </c>
      <c r="C48" s="4" t="s">
        <v>45</v>
      </c>
      <c r="D48" s="4" t="s">
        <v>22</v>
      </c>
      <c r="E48" s="4" t="s">
        <v>46</v>
      </c>
      <c r="F48" s="4" t="s">
        <v>41</v>
      </c>
      <c r="G48" s="4" t="s">
        <v>12</v>
      </c>
      <c r="H48" s="5">
        <v>17266.0</v>
      </c>
      <c r="I48" s="4" t="s">
        <v>23</v>
      </c>
    </row>
    <row r="49">
      <c r="A49" s="4" t="s">
        <v>158</v>
      </c>
      <c r="B49" s="4" t="s">
        <v>154</v>
      </c>
      <c r="C49" s="4" t="s">
        <v>57</v>
      </c>
      <c r="D49" s="4" t="s">
        <v>19</v>
      </c>
      <c r="E49" s="4" t="s">
        <v>20</v>
      </c>
      <c r="F49" s="4" t="s">
        <v>21</v>
      </c>
      <c r="G49" s="4" t="s">
        <v>13</v>
      </c>
      <c r="H49" s="5">
        <v>13815.0</v>
      </c>
      <c r="I49" s="4" t="s">
        <v>47</v>
      </c>
    </row>
    <row r="50">
      <c r="A50" s="4" t="s">
        <v>159</v>
      </c>
      <c r="B50" s="4" t="s">
        <v>160</v>
      </c>
      <c r="C50" s="4" t="s">
        <v>18</v>
      </c>
      <c r="D50" s="4" t="s">
        <v>16</v>
      </c>
      <c r="E50" s="4" t="s">
        <v>46</v>
      </c>
      <c r="F50" s="4" t="s">
        <v>52</v>
      </c>
      <c r="G50" s="4" t="s">
        <v>11</v>
      </c>
      <c r="H50" s="5">
        <v>15397.0</v>
      </c>
      <c r="I50" s="4" t="s">
        <v>47</v>
      </c>
    </row>
    <row r="51">
      <c r="A51" s="4" t="s">
        <v>162</v>
      </c>
      <c r="B51" s="4" t="s">
        <v>163</v>
      </c>
      <c r="C51" s="4" t="s">
        <v>57</v>
      </c>
      <c r="D51" s="4" t="s">
        <v>19</v>
      </c>
      <c r="E51" s="4" t="s">
        <v>20</v>
      </c>
      <c r="F51" s="4" t="s">
        <v>21</v>
      </c>
      <c r="G51" s="4" t="s">
        <v>13</v>
      </c>
      <c r="H51" s="5">
        <v>14036.0</v>
      </c>
      <c r="I51" s="4"/>
    </row>
    <row r="52">
      <c r="A52" s="4" t="s">
        <v>165</v>
      </c>
      <c r="B52" s="4" t="s">
        <v>166</v>
      </c>
      <c r="C52" s="4" t="s">
        <v>18</v>
      </c>
      <c r="D52" s="4" t="s">
        <v>16</v>
      </c>
      <c r="E52" s="4" t="s">
        <v>46</v>
      </c>
      <c r="F52" s="4" t="s">
        <v>41</v>
      </c>
      <c r="G52" s="4" t="s">
        <v>12</v>
      </c>
      <c r="H52" s="5">
        <v>15702.0</v>
      </c>
      <c r="I52" s="4" t="s">
        <v>23</v>
      </c>
    </row>
    <row r="53">
      <c r="A53" s="4" t="s">
        <v>167</v>
      </c>
      <c r="B53" s="4" t="s">
        <v>168</v>
      </c>
      <c r="C53" s="4" t="s">
        <v>45</v>
      </c>
      <c r="D53" s="4" t="s">
        <v>22</v>
      </c>
      <c r="E53" s="4" t="s">
        <v>20</v>
      </c>
      <c r="F53" s="4" t="s">
        <v>52</v>
      </c>
      <c r="G53" s="4" t="s">
        <v>13</v>
      </c>
      <c r="H53" s="5">
        <v>16760.0</v>
      </c>
      <c r="I53" s="4" t="s">
        <v>23</v>
      </c>
    </row>
    <row r="54">
      <c r="A54" s="4" t="s">
        <v>169</v>
      </c>
      <c r="B54" s="4" t="s">
        <v>170</v>
      </c>
      <c r="C54" s="4" t="s">
        <v>18</v>
      </c>
      <c r="D54" s="4" t="s">
        <v>16</v>
      </c>
      <c r="E54" s="4" t="s">
        <v>58</v>
      </c>
      <c r="F54" s="4" t="s">
        <v>41</v>
      </c>
      <c r="G54" s="4" t="s">
        <v>12</v>
      </c>
      <c r="H54" s="5">
        <v>13022.0</v>
      </c>
      <c r="I54" s="4" t="s">
        <v>37</v>
      </c>
    </row>
    <row r="55">
      <c r="A55" s="4" t="s">
        <v>171</v>
      </c>
      <c r="B55" s="4" t="s">
        <v>172</v>
      </c>
      <c r="C55" s="4" t="s">
        <v>76</v>
      </c>
      <c r="D55" s="4" t="s">
        <v>24</v>
      </c>
      <c r="E55" s="4" t="s">
        <v>20</v>
      </c>
      <c r="F55" s="4" t="s">
        <v>52</v>
      </c>
      <c r="G55" s="4" t="s">
        <v>13</v>
      </c>
      <c r="H55" s="5">
        <v>10791.0</v>
      </c>
      <c r="I55" s="4" t="s">
        <v>23</v>
      </c>
    </row>
    <row r="56">
      <c r="A56" s="4" t="s">
        <v>173</v>
      </c>
      <c r="B56" s="4" t="s">
        <v>174</v>
      </c>
      <c r="C56" s="4" t="s">
        <v>57</v>
      </c>
      <c r="D56" s="4" t="s">
        <v>19</v>
      </c>
      <c r="E56" s="4" t="s">
        <v>58</v>
      </c>
      <c r="F56" s="4" t="s">
        <v>41</v>
      </c>
      <c r="G56" s="4" t="s">
        <v>13</v>
      </c>
      <c r="H56" s="5">
        <v>14016.0</v>
      </c>
      <c r="I56" s="4" t="s">
        <v>47</v>
      </c>
    </row>
    <row r="57">
      <c r="A57" s="4" t="s">
        <v>175</v>
      </c>
      <c r="B57" s="4" t="s">
        <v>176</v>
      </c>
      <c r="C57" s="4" t="s">
        <v>57</v>
      </c>
      <c r="D57" s="4" t="s">
        <v>19</v>
      </c>
      <c r="E57" s="4" t="s">
        <v>58</v>
      </c>
      <c r="F57" s="4" t="s">
        <v>41</v>
      </c>
      <c r="G57" s="4" t="s">
        <v>12</v>
      </c>
      <c r="H57" s="5">
        <v>11442.0</v>
      </c>
      <c r="I57" s="4"/>
    </row>
    <row r="58">
      <c r="A58" s="4" t="s">
        <v>178</v>
      </c>
      <c r="B58" s="4" t="s">
        <v>168</v>
      </c>
      <c r="C58" s="4" t="s">
        <v>76</v>
      </c>
      <c r="D58" s="4" t="s">
        <v>24</v>
      </c>
      <c r="E58" s="4" t="s">
        <v>46</v>
      </c>
      <c r="F58" s="4" t="s">
        <v>41</v>
      </c>
      <c r="G58" s="4" t="s">
        <v>11</v>
      </c>
      <c r="H58" s="5">
        <v>8432.0</v>
      </c>
      <c r="I58" s="4" t="s">
        <v>47</v>
      </c>
    </row>
    <row r="59">
      <c r="A59" s="4" t="s">
        <v>179</v>
      </c>
      <c r="B59" s="4" t="s">
        <v>180</v>
      </c>
      <c r="C59" s="4" t="s">
        <v>57</v>
      </c>
      <c r="D59" s="4" t="s">
        <v>19</v>
      </c>
      <c r="E59" s="4" t="s">
        <v>46</v>
      </c>
      <c r="F59" s="4" t="s">
        <v>41</v>
      </c>
      <c r="G59" s="4" t="s">
        <v>12</v>
      </c>
      <c r="H59" s="5">
        <v>11791.0</v>
      </c>
      <c r="I59" s="4"/>
    </row>
    <row r="60">
      <c r="A60" s="4" t="s">
        <v>181</v>
      </c>
      <c r="B60" s="4" t="s">
        <v>182</v>
      </c>
      <c r="C60" s="4" t="s">
        <v>18</v>
      </c>
      <c r="D60" s="4" t="s">
        <v>16</v>
      </c>
      <c r="E60" s="4" t="s">
        <v>58</v>
      </c>
      <c r="F60" s="4" t="s">
        <v>21</v>
      </c>
      <c r="G60" s="4" t="s">
        <v>12</v>
      </c>
      <c r="H60" s="5">
        <v>14086.0</v>
      </c>
      <c r="I60" s="4"/>
    </row>
    <row r="61">
      <c r="A61" s="4" t="s">
        <v>184</v>
      </c>
      <c r="B61" s="4" t="s">
        <v>185</v>
      </c>
      <c r="C61" s="4" t="s">
        <v>45</v>
      </c>
      <c r="D61" s="4" t="s">
        <v>22</v>
      </c>
      <c r="E61" s="4" t="s">
        <v>46</v>
      </c>
      <c r="F61" s="4" t="s">
        <v>41</v>
      </c>
      <c r="G61" s="4" t="s">
        <v>11</v>
      </c>
      <c r="H61" s="5">
        <v>15731.0</v>
      </c>
      <c r="I61" s="4" t="s">
        <v>42</v>
      </c>
    </row>
    <row r="62">
      <c r="A62" s="4" t="s">
        <v>186</v>
      </c>
      <c r="B62" s="4" t="s">
        <v>100</v>
      </c>
      <c r="C62" s="4" t="s">
        <v>76</v>
      </c>
      <c r="D62" s="4" t="s">
        <v>24</v>
      </c>
      <c r="E62" s="4" t="s">
        <v>58</v>
      </c>
      <c r="F62" s="4" t="s">
        <v>52</v>
      </c>
      <c r="G62" s="4" t="s">
        <v>11</v>
      </c>
      <c r="H62" s="5">
        <v>8787.0</v>
      </c>
      <c r="I62" s="4" t="s">
        <v>42</v>
      </c>
    </row>
    <row r="63">
      <c r="A63" s="4" t="s">
        <v>187</v>
      </c>
      <c r="B63" s="4" t="s">
        <v>82</v>
      </c>
      <c r="C63" s="4" t="s">
        <v>57</v>
      </c>
      <c r="D63" s="4" t="s">
        <v>19</v>
      </c>
      <c r="E63" s="4" t="s">
        <v>58</v>
      </c>
      <c r="F63" s="4" t="s">
        <v>41</v>
      </c>
      <c r="G63" s="4" t="s">
        <v>12</v>
      </c>
      <c r="H63" s="5">
        <v>12786.0</v>
      </c>
      <c r="I63" s="4" t="s">
        <v>37</v>
      </c>
    </row>
    <row r="64">
      <c r="A64" s="4" t="s">
        <v>188</v>
      </c>
      <c r="B64" s="4" t="s">
        <v>189</v>
      </c>
      <c r="C64" s="4" t="s">
        <v>57</v>
      </c>
      <c r="D64" s="4" t="s">
        <v>19</v>
      </c>
      <c r="E64" s="4" t="s">
        <v>58</v>
      </c>
      <c r="F64" s="4" t="s">
        <v>21</v>
      </c>
      <c r="G64" s="4" t="s">
        <v>13</v>
      </c>
      <c r="H64" s="5">
        <v>14886.0</v>
      </c>
      <c r="I64" s="4" t="s">
        <v>47</v>
      </c>
    </row>
    <row r="65">
      <c r="A65" s="4" t="s">
        <v>191</v>
      </c>
      <c r="B65" s="4" t="s">
        <v>192</v>
      </c>
      <c r="C65" s="4" t="s">
        <v>18</v>
      </c>
      <c r="D65" s="4" t="s">
        <v>16</v>
      </c>
      <c r="E65" s="4" t="s">
        <v>20</v>
      </c>
      <c r="F65" s="4" t="s">
        <v>21</v>
      </c>
      <c r="G65" s="4" t="s">
        <v>12</v>
      </c>
      <c r="H65" s="5">
        <v>13266.0</v>
      </c>
      <c r="I65" s="4"/>
    </row>
    <row r="66">
      <c r="A66" s="4" t="s">
        <v>193</v>
      </c>
      <c r="B66" s="4" t="s">
        <v>134</v>
      </c>
      <c r="C66" s="4" t="s">
        <v>45</v>
      </c>
      <c r="D66" s="4" t="s">
        <v>22</v>
      </c>
      <c r="E66" s="4" t="s">
        <v>20</v>
      </c>
      <c r="F66" s="4" t="s">
        <v>41</v>
      </c>
      <c r="G66" s="4" t="s">
        <v>13</v>
      </c>
      <c r="H66" s="5">
        <v>16722.0</v>
      </c>
      <c r="I66" s="4"/>
    </row>
    <row r="67">
      <c r="A67" s="4" t="s">
        <v>194</v>
      </c>
      <c r="B67" s="4" t="s">
        <v>195</v>
      </c>
      <c r="C67" s="4" t="s">
        <v>45</v>
      </c>
      <c r="D67" s="4" t="s">
        <v>22</v>
      </c>
      <c r="E67" s="4" t="s">
        <v>58</v>
      </c>
      <c r="F67" s="4" t="s">
        <v>52</v>
      </c>
      <c r="G67" s="4" t="s">
        <v>13</v>
      </c>
      <c r="H67" s="5">
        <v>16244.0</v>
      </c>
      <c r="I67" s="4" t="s">
        <v>47</v>
      </c>
    </row>
    <row r="68">
      <c r="A68" s="4" t="s">
        <v>196</v>
      </c>
      <c r="B68" s="4" t="s">
        <v>197</v>
      </c>
      <c r="C68" s="4" t="s">
        <v>45</v>
      </c>
      <c r="D68" s="4" t="s">
        <v>22</v>
      </c>
      <c r="E68" s="4" t="s">
        <v>58</v>
      </c>
      <c r="F68" s="4" t="s">
        <v>21</v>
      </c>
      <c r="G68" s="4" t="s">
        <v>11</v>
      </c>
      <c r="H68" s="5">
        <v>17767.0</v>
      </c>
      <c r="I68" s="4" t="s">
        <v>23</v>
      </c>
    </row>
    <row r="69">
      <c r="A69" s="4" t="s">
        <v>199</v>
      </c>
      <c r="B69" s="4" t="s">
        <v>200</v>
      </c>
      <c r="C69" s="4" t="s">
        <v>57</v>
      </c>
      <c r="D69" s="4" t="s">
        <v>19</v>
      </c>
      <c r="E69" s="4" t="s">
        <v>20</v>
      </c>
      <c r="F69" s="4" t="s">
        <v>41</v>
      </c>
      <c r="G69" s="4" t="s">
        <v>11</v>
      </c>
      <c r="H69" s="5">
        <v>13111.0</v>
      </c>
      <c r="I69" s="4" t="s">
        <v>42</v>
      </c>
    </row>
    <row r="70">
      <c r="A70" s="4" t="s">
        <v>201</v>
      </c>
      <c r="B70" s="4" t="s">
        <v>202</v>
      </c>
      <c r="C70" s="4" t="s">
        <v>57</v>
      </c>
      <c r="D70" s="4" t="s">
        <v>19</v>
      </c>
      <c r="E70" s="4" t="s">
        <v>20</v>
      </c>
      <c r="F70" s="4" t="s">
        <v>21</v>
      </c>
      <c r="G70" s="4" t="s">
        <v>13</v>
      </c>
      <c r="H70" s="5">
        <v>14303.0</v>
      </c>
      <c r="I70" s="4" t="s">
        <v>23</v>
      </c>
    </row>
    <row r="71">
      <c r="A71" s="4" t="s">
        <v>204</v>
      </c>
      <c r="B71" s="4" t="s">
        <v>205</v>
      </c>
      <c r="C71" s="4" t="s">
        <v>57</v>
      </c>
      <c r="D71" s="4" t="s">
        <v>19</v>
      </c>
      <c r="E71" s="4" t="s">
        <v>58</v>
      </c>
      <c r="F71" s="4" t="s">
        <v>52</v>
      </c>
      <c r="G71" s="4" t="s">
        <v>13</v>
      </c>
      <c r="H71" s="5">
        <v>12865.0</v>
      </c>
      <c r="I71" s="4"/>
    </row>
    <row r="72">
      <c r="A72" s="4" t="s">
        <v>206</v>
      </c>
      <c r="B72" s="4" t="s">
        <v>207</v>
      </c>
      <c r="C72" s="4" t="s">
        <v>57</v>
      </c>
      <c r="D72" s="4" t="s">
        <v>19</v>
      </c>
      <c r="E72" s="4" t="s">
        <v>20</v>
      </c>
      <c r="F72" s="4" t="s">
        <v>52</v>
      </c>
      <c r="G72" s="4" t="s">
        <v>11</v>
      </c>
      <c r="H72" s="5">
        <v>13024.0</v>
      </c>
      <c r="I72" s="4"/>
    </row>
    <row r="73">
      <c r="A73" s="4" t="s">
        <v>210</v>
      </c>
      <c r="B73" s="4" t="s">
        <v>148</v>
      </c>
      <c r="C73" s="4" t="s">
        <v>18</v>
      </c>
      <c r="D73" s="4" t="s">
        <v>16</v>
      </c>
      <c r="E73" s="4" t="s">
        <v>46</v>
      </c>
      <c r="F73" s="4" t="s">
        <v>21</v>
      </c>
      <c r="G73" s="4" t="s">
        <v>13</v>
      </c>
      <c r="H73" s="5">
        <v>12720.0</v>
      </c>
      <c r="I73" s="4" t="s">
        <v>42</v>
      </c>
    </row>
    <row r="74">
      <c r="A74" s="4" t="s">
        <v>212</v>
      </c>
      <c r="B74" s="4" t="s">
        <v>213</v>
      </c>
      <c r="C74" s="4" t="s">
        <v>57</v>
      </c>
      <c r="D74" s="4" t="s">
        <v>19</v>
      </c>
      <c r="E74" s="4" t="s">
        <v>46</v>
      </c>
      <c r="F74" s="4" t="s">
        <v>21</v>
      </c>
      <c r="G74" s="4" t="s">
        <v>13</v>
      </c>
      <c r="H74" s="5">
        <v>14282.0</v>
      </c>
      <c r="I74" s="4"/>
    </row>
    <row r="75">
      <c r="A75" s="4" t="s">
        <v>214</v>
      </c>
      <c r="B75" s="4" t="s">
        <v>215</v>
      </c>
      <c r="C75" s="4" t="s">
        <v>45</v>
      </c>
      <c r="D75" s="4" t="s">
        <v>22</v>
      </c>
      <c r="E75" s="4" t="s">
        <v>58</v>
      </c>
      <c r="F75" s="4" t="s">
        <v>52</v>
      </c>
      <c r="G75" s="4" t="s">
        <v>12</v>
      </c>
      <c r="H75" s="5">
        <v>18653.0</v>
      </c>
      <c r="I75" s="4" t="s">
        <v>42</v>
      </c>
    </row>
    <row r="76">
      <c r="A76" s="4" t="s">
        <v>216</v>
      </c>
      <c r="B76" s="4" t="s">
        <v>185</v>
      </c>
      <c r="C76" s="4" t="s">
        <v>76</v>
      </c>
      <c r="D76" s="4" t="s">
        <v>24</v>
      </c>
      <c r="E76" s="4" t="s">
        <v>46</v>
      </c>
      <c r="F76" s="4" t="s">
        <v>52</v>
      </c>
      <c r="G76" s="4" t="s">
        <v>11</v>
      </c>
      <c r="H76" s="5">
        <v>8843.0</v>
      </c>
      <c r="I76" s="4" t="s">
        <v>47</v>
      </c>
    </row>
    <row r="77">
      <c r="A77" s="4" t="s">
        <v>217</v>
      </c>
      <c r="B77" s="4" t="s">
        <v>218</v>
      </c>
      <c r="C77" s="4" t="s">
        <v>45</v>
      </c>
      <c r="D77" s="4" t="s">
        <v>22</v>
      </c>
      <c r="E77" s="4" t="s">
        <v>20</v>
      </c>
      <c r="F77" s="4" t="s">
        <v>21</v>
      </c>
      <c r="G77" s="4" t="s">
        <v>12</v>
      </c>
      <c r="H77" s="5">
        <v>15979.0</v>
      </c>
      <c r="I77" s="4" t="s">
        <v>47</v>
      </c>
    </row>
    <row r="78">
      <c r="A78" s="4" t="s">
        <v>219</v>
      </c>
      <c r="B78" s="4" t="s">
        <v>220</v>
      </c>
      <c r="C78" s="4" t="s">
        <v>45</v>
      </c>
      <c r="D78" s="4" t="s">
        <v>22</v>
      </c>
      <c r="E78" s="4" t="s">
        <v>46</v>
      </c>
      <c r="F78" s="4" t="s">
        <v>21</v>
      </c>
      <c r="G78" s="4" t="s">
        <v>11</v>
      </c>
      <c r="H78" s="5">
        <v>16309.0</v>
      </c>
      <c r="I78" s="4" t="s">
        <v>42</v>
      </c>
    </row>
    <row r="79">
      <c r="A79" s="4" t="s">
        <v>222</v>
      </c>
      <c r="B79" s="4" t="s">
        <v>223</v>
      </c>
      <c r="C79" s="4" t="s">
        <v>57</v>
      </c>
      <c r="D79" s="4" t="s">
        <v>19</v>
      </c>
      <c r="E79" s="4" t="s">
        <v>58</v>
      </c>
      <c r="F79" s="4" t="s">
        <v>52</v>
      </c>
      <c r="G79" s="4" t="s">
        <v>13</v>
      </c>
      <c r="H79" s="5">
        <v>13893.0</v>
      </c>
      <c r="I79" s="4" t="s">
        <v>23</v>
      </c>
    </row>
    <row r="80">
      <c r="A80" s="4" t="s">
        <v>224</v>
      </c>
      <c r="B80" s="4" t="s">
        <v>225</v>
      </c>
      <c r="C80" s="4" t="s">
        <v>45</v>
      </c>
      <c r="D80" s="4" t="s">
        <v>22</v>
      </c>
      <c r="E80" s="4" t="s">
        <v>20</v>
      </c>
      <c r="F80" s="4" t="s">
        <v>21</v>
      </c>
      <c r="G80" s="4" t="s">
        <v>11</v>
      </c>
      <c r="H80" s="5">
        <v>15255.0</v>
      </c>
      <c r="I80" s="4" t="s">
        <v>23</v>
      </c>
    </row>
    <row r="81">
      <c r="A81" s="4" t="s">
        <v>226</v>
      </c>
      <c r="B81" s="4" t="s">
        <v>225</v>
      </c>
      <c r="C81" s="4" t="s">
        <v>18</v>
      </c>
      <c r="D81" s="4" t="s">
        <v>16</v>
      </c>
      <c r="E81" s="4" t="s">
        <v>20</v>
      </c>
      <c r="F81" s="4" t="s">
        <v>21</v>
      </c>
      <c r="G81" s="4" t="s">
        <v>11</v>
      </c>
      <c r="H81" s="5">
        <v>12024.0</v>
      </c>
      <c r="I81" s="4" t="s">
        <v>47</v>
      </c>
    </row>
    <row r="82">
      <c r="A82" s="4" t="s">
        <v>228</v>
      </c>
      <c r="B82" s="4" t="s">
        <v>229</v>
      </c>
      <c r="C82" s="4" t="s">
        <v>76</v>
      </c>
      <c r="D82" s="4" t="s">
        <v>24</v>
      </c>
      <c r="E82" s="4" t="s">
        <v>20</v>
      </c>
      <c r="F82" s="4" t="s">
        <v>52</v>
      </c>
      <c r="G82" s="4" t="s">
        <v>12</v>
      </c>
      <c r="H82" s="5">
        <v>9236.0</v>
      </c>
      <c r="I82" s="4" t="s">
        <v>42</v>
      </c>
    </row>
    <row r="83">
      <c r="A83" s="4" t="s">
        <v>230</v>
      </c>
      <c r="B83" s="4" t="s">
        <v>44</v>
      </c>
      <c r="C83" s="4" t="s">
        <v>57</v>
      </c>
      <c r="D83" s="4" t="s">
        <v>19</v>
      </c>
      <c r="E83" s="4" t="s">
        <v>58</v>
      </c>
      <c r="F83" s="4" t="s">
        <v>21</v>
      </c>
      <c r="G83" s="4" t="s">
        <v>11</v>
      </c>
      <c r="H83" s="5">
        <v>11118.0</v>
      </c>
      <c r="I83" s="4"/>
    </row>
    <row r="84">
      <c r="A84" s="4" t="s">
        <v>231</v>
      </c>
      <c r="B84" s="4" t="s">
        <v>122</v>
      </c>
      <c r="C84" s="4" t="s">
        <v>76</v>
      </c>
      <c r="D84" s="4" t="s">
        <v>24</v>
      </c>
      <c r="E84" s="4" t="s">
        <v>20</v>
      </c>
      <c r="F84" s="4" t="s">
        <v>41</v>
      </c>
      <c r="G84" s="4" t="s">
        <v>11</v>
      </c>
      <c r="H84" s="5">
        <v>10766.0</v>
      </c>
      <c r="I84" s="4" t="s">
        <v>23</v>
      </c>
    </row>
    <row r="85">
      <c r="A85" s="4" t="s">
        <v>232</v>
      </c>
      <c r="B85" s="4" t="s">
        <v>233</v>
      </c>
      <c r="C85" s="4" t="s">
        <v>76</v>
      </c>
      <c r="D85" s="4" t="s">
        <v>24</v>
      </c>
      <c r="E85" s="4" t="s">
        <v>20</v>
      </c>
      <c r="F85" s="4" t="s">
        <v>52</v>
      </c>
      <c r="G85" s="4" t="s">
        <v>12</v>
      </c>
      <c r="H85" s="5">
        <v>7111.0</v>
      </c>
      <c r="I85" s="4" t="s">
        <v>37</v>
      </c>
    </row>
    <row r="86">
      <c r="A86" s="4" t="s">
        <v>236</v>
      </c>
      <c r="B86" s="4" t="s">
        <v>237</v>
      </c>
      <c r="C86" s="4" t="s">
        <v>76</v>
      </c>
      <c r="D86" s="4" t="s">
        <v>24</v>
      </c>
      <c r="E86" s="4" t="s">
        <v>46</v>
      </c>
      <c r="F86" s="4" t="s">
        <v>41</v>
      </c>
      <c r="G86" s="4" t="s">
        <v>11</v>
      </c>
      <c r="H86" s="5">
        <v>8552.0</v>
      </c>
      <c r="I86" s="4" t="s">
        <v>47</v>
      </c>
    </row>
    <row r="87">
      <c r="A87" s="4" t="s">
        <v>239</v>
      </c>
      <c r="B87" s="4" t="s">
        <v>240</v>
      </c>
      <c r="C87" s="4" t="s">
        <v>45</v>
      </c>
      <c r="D87" s="4" t="s">
        <v>22</v>
      </c>
      <c r="E87" s="4" t="s">
        <v>58</v>
      </c>
      <c r="F87" s="4" t="s">
        <v>21</v>
      </c>
      <c r="G87" s="4" t="s">
        <v>11</v>
      </c>
      <c r="H87" s="5">
        <v>16033.0</v>
      </c>
      <c r="I87" s="4" t="s">
        <v>37</v>
      </c>
    </row>
    <row r="88">
      <c r="A88" s="4" t="s">
        <v>241</v>
      </c>
      <c r="B88" s="4" t="s">
        <v>242</v>
      </c>
      <c r="C88" s="4" t="s">
        <v>18</v>
      </c>
      <c r="D88" s="4" t="s">
        <v>16</v>
      </c>
      <c r="E88" s="4" t="s">
        <v>58</v>
      </c>
      <c r="F88" s="4" t="s">
        <v>41</v>
      </c>
      <c r="G88" s="4" t="s">
        <v>12</v>
      </c>
      <c r="H88" s="5">
        <v>12281.0</v>
      </c>
      <c r="I88" s="4" t="s">
        <v>37</v>
      </c>
    </row>
    <row r="89">
      <c r="A89" s="4" t="s">
        <v>243</v>
      </c>
      <c r="B89" s="4" t="s">
        <v>244</v>
      </c>
      <c r="C89" s="4" t="s">
        <v>57</v>
      </c>
      <c r="D89" s="4" t="s">
        <v>19</v>
      </c>
      <c r="E89" s="4" t="s">
        <v>46</v>
      </c>
      <c r="F89" s="4" t="s">
        <v>52</v>
      </c>
      <c r="G89" s="4" t="s">
        <v>13</v>
      </c>
      <c r="H89" s="5">
        <v>11977.0</v>
      </c>
      <c r="I89" s="4" t="s">
        <v>23</v>
      </c>
    </row>
    <row r="90">
      <c r="A90" s="4" t="s">
        <v>246</v>
      </c>
      <c r="B90" s="4" t="s">
        <v>17</v>
      </c>
      <c r="C90" s="4" t="s">
        <v>57</v>
      </c>
      <c r="D90" s="4" t="s">
        <v>19</v>
      </c>
      <c r="E90" s="4" t="s">
        <v>58</v>
      </c>
      <c r="F90" s="4" t="s">
        <v>52</v>
      </c>
      <c r="G90" s="4" t="s">
        <v>11</v>
      </c>
      <c r="H90" s="5">
        <v>14141.0</v>
      </c>
      <c r="I90" s="4" t="s">
        <v>47</v>
      </c>
    </row>
    <row r="91">
      <c r="A91" s="4" t="s">
        <v>247</v>
      </c>
      <c r="B91" s="4" t="s">
        <v>248</v>
      </c>
      <c r="C91" s="4" t="s">
        <v>18</v>
      </c>
      <c r="D91" s="4" t="s">
        <v>16</v>
      </c>
      <c r="E91" s="4" t="s">
        <v>46</v>
      </c>
      <c r="F91" s="4" t="s">
        <v>21</v>
      </c>
      <c r="G91" s="4" t="s">
        <v>13</v>
      </c>
      <c r="H91" s="5">
        <v>14370.0</v>
      </c>
      <c r="I91" s="4" t="s">
        <v>37</v>
      </c>
    </row>
    <row r="92">
      <c r="A92" s="4" t="s">
        <v>249</v>
      </c>
      <c r="B92" s="4" t="s">
        <v>154</v>
      </c>
      <c r="C92" s="4" t="s">
        <v>76</v>
      </c>
      <c r="D92" s="4" t="s">
        <v>24</v>
      </c>
      <c r="E92" s="4" t="s">
        <v>58</v>
      </c>
      <c r="F92" s="4" t="s">
        <v>52</v>
      </c>
      <c r="G92" s="4" t="s">
        <v>13</v>
      </c>
      <c r="H92" s="5">
        <v>7311.0</v>
      </c>
      <c r="I92" s="4" t="s">
        <v>42</v>
      </c>
    </row>
    <row r="93">
      <c r="A93" s="4" t="s">
        <v>250</v>
      </c>
      <c r="B93" s="4" t="s">
        <v>251</v>
      </c>
      <c r="C93" s="4" t="s">
        <v>57</v>
      </c>
      <c r="D93" s="4" t="s">
        <v>19</v>
      </c>
      <c r="E93" s="4" t="s">
        <v>46</v>
      </c>
      <c r="F93" s="4" t="s">
        <v>52</v>
      </c>
      <c r="G93" s="4" t="s">
        <v>11</v>
      </c>
      <c r="H93" s="5">
        <v>14482.0</v>
      </c>
      <c r="I93" s="4" t="s">
        <v>42</v>
      </c>
    </row>
    <row r="94">
      <c r="A94" s="4" t="s">
        <v>252</v>
      </c>
      <c r="B94" s="4" t="s">
        <v>253</v>
      </c>
      <c r="C94" s="4" t="s">
        <v>18</v>
      </c>
      <c r="D94" s="4" t="s">
        <v>16</v>
      </c>
      <c r="E94" s="4" t="s">
        <v>58</v>
      </c>
      <c r="F94" s="4" t="s">
        <v>52</v>
      </c>
      <c r="G94" s="4" t="s">
        <v>11</v>
      </c>
      <c r="H94" s="5">
        <v>14709.0</v>
      </c>
      <c r="I94" s="4" t="s">
        <v>47</v>
      </c>
    </row>
    <row r="95">
      <c r="A95" s="4" t="s">
        <v>254</v>
      </c>
      <c r="B95" s="4" t="s">
        <v>255</v>
      </c>
      <c r="C95" s="4" t="s">
        <v>45</v>
      </c>
      <c r="D95" s="4" t="s">
        <v>22</v>
      </c>
      <c r="E95" s="4" t="s">
        <v>46</v>
      </c>
      <c r="F95" s="4" t="s">
        <v>21</v>
      </c>
      <c r="G95" s="4" t="s">
        <v>11</v>
      </c>
      <c r="H95" s="5">
        <v>15432.0</v>
      </c>
      <c r="I95" s="4"/>
    </row>
    <row r="96">
      <c r="A96" s="4" t="s">
        <v>256</v>
      </c>
      <c r="B96" s="4" t="s">
        <v>257</v>
      </c>
      <c r="C96" s="4" t="s">
        <v>76</v>
      </c>
      <c r="D96" s="4" t="s">
        <v>24</v>
      </c>
      <c r="E96" s="4" t="s">
        <v>20</v>
      </c>
      <c r="F96" s="4" t="s">
        <v>41</v>
      </c>
      <c r="G96" s="4" t="s">
        <v>11</v>
      </c>
      <c r="H96" s="5">
        <v>7721.0</v>
      </c>
      <c r="I96" s="4" t="s">
        <v>42</v>
      </c>
    </row>
    <row r="97">
      <c r="A97" s="4" t="s">
        <v>259</v>
      </c>
      <c r="B97" s="4" t="s">
        <v>154</v>
      </c>
      <c r="C97" s="4" t="s">
        <v>76</v>
      </c>
      <c r="D97" s="4" t="s">
        <v>24</v>
      </c>
      <c r="E97" s="4" t="s">
        <v>58</v>
      </c>
      <c r="F97" s="4" t="s">
        <v>21</v>
      </c>
      <c r="G97" s="4" t="s">
        <v>12</v>
      </c>
      <c r="H97" s="5">
        <v>9426.0</v>
      </c>
      <c r="I97" s="4" t="s">
        <v>47</v>
      </c>
    </row>
    <row r="98">
      <c r="A98" s="4" t="s">
        <v>260</v>
      </c>
      <c r="B98" s="4" t="s">
        <v>261</v>
      </c>
      <c r="C98" s="4" t="s">
        <v>18</v>
      </c>
      <c r="D98" s="4" t="s">
        <v>16</v>
      </c>
      <c r="E98" s="4" t="s">
        <v>58</v>
      </c>
      <c r="F98" s="4" t="s">
        <v>21</v>
      </c>
      <c r="G98" s="4" t="s">
        <v>13</v>
      </c>
      <c r="H98" s="5">
        <v>15073.0</v>
      </c>
      <c r="I98" s="4"/>
    </row>
    <row r="99">
      <c r="A99" s="4" t="s">
        <v>262</v>
      </c>
      <c r="B99" s="4" t="s">
        <v>263</v>
      </c>
      <c r="C99" s="4" t="s">
        <v>76</v>
      </c>
      <c r="D99" s="4" t="s">
        <v>24</v>
      </c>
      <c r="E99" s="4" t="s">
        <v>58</v>
      </c>
      <c r="F99" s="4" t="s">
        <v>41</v>
      </c>
      <c r="G99" s="4" t="s">
        <v>11</v>
      </c>
      <c r="H99" s="5">
        <v>10485.0</v>
      </c>
      <c r="I99" s="4" t="s">
        <v>47</v>
      </c>
    </row>
    <row r="100">
      <c r="A100" s="4" t="s">
        <v>265</v>
      </c>
      <c r="B100" s="4" t="s">
        <v>266</v>
      </c>
      <c r="C100" s="4" t="s">
        <v>45</v>
      </c>
      <c r="D100" s="4" t="s">
        <v>22</v>
      </c>
      <c r="E100" s="4" t="s">
        <v>58</v>
      </c>
      <c r="F100" s="4" t="s">
        <v>21</v>
      </c>
      <c r="G100" s="4" t="s">
        <v>11</v>
      </c>
      <c r="H100" s="5">
        <v>18605.0</v>
      </c>
      <c r="I100" s="4" t="s">
        <v>42</v>
      </c>
    </row>
    <row r="101">
      <c r="A101" s="4" t="s">
        <v>267</v>
      </c>
      <c r="B101" s="4" t="s">
        <v>145</v>
      </c>
      <c r="C101" s="4" t="s">
        <v>18</v>
      </c>
      <c r="D101" s="4" t="s">
        <v>16</v>
      </c>
      <c r="E101" s="4" t="s">
        <v>20</v>
      </c>
      <c r="F101" s="4" t="s">
        <v>41</v>
      </c>
      <c r="G101" s="4" t="s">
        <v>13</v>
      </c>
      <c r="H101" s="5">
        <v>12988.0</v>
      </c>
      <c r="I101" s="4"/>
    </row>
    <row r="102">
      <c r="A102" s="4" t="s">
        <v>269</v>
      </c>
      <c r="B102" s="4" t="s">
        <v>108</v>
      </c>
      <c r="C102" s="4" t="s">
        <v>57</v>
      </c>
      <c r="D102" s="4" t="s">
        <v>19</v>
      </c>
      <c r="E102" s="4" t="s">
        <v>20</v>
      </c>
      <c r="F102" s="4" t="s">
        <v>21</v>
      </c>
      <c r="G102" s="4" t="s">
        <v>12</v>
      </c>
      <c r="H102" s="5">
        <v>13915.0</v>
      </c>
      <c r="I102" s="4"/>
    </row>
    <row r="103">
      <c r="A103" s="4" t="s">
        <v>271</v>
      </c>
      <c r="B103" s="4" t="s">
        <v>79</v>
      </c>
      <c r="C103" s="4" t="s">
        <v>18</v>
      </c>
      <c r="D103" s="4" t="s">
        <v>16</v>
      </c>
      <c r="E103" s="4" t="s">
        <v>58</v>
      </c>
      <c r="F103" s="4" t="s">
        <v>41</v>
      </c>
      <c r="G103" s="4" t="s">
        <v>11</v>
      </c>
      <c r="H103" s="5">
        <v>14833.0</v>
      </c>
      <c r="I103" s="4" t="s">
        <v>23</v>
      </c>
    </row>
    <row r="104">
      <c r="A104" s="4" t="s">
        <v>272</v>
      </c>
      <c r="B104" s="4" t="s">
        <v>207</v>
      </c>
      <c r="C104" s="4" t="s">
        <v>45</v>
      </c>
      <c r="D104" s="4" t="s">
        <v>22</v>
      </c>
      <c r="E104" s="4" t="s">
        <v>58</v>
      </c>
      <c r="F104" s="4" t="s">
        <v>52</v>
      </c>
      <c r="G104" s="4" t="s">
        <v>12</v>
      </c>
      <c r="H104" s="5">
        <v>16408.0</v>
      </c>
      <c r="I104" s="4"/>
    </row>
    <row r="105">
      <c r="A105" s="4" t="s">
        <v>273</v>
      </c>
      <c r="B105" s="4" t="s">
        <v>274</v>
      </c>
      <c r="C105" s="4" t="s">
        <v>45</v>
      </c>
      <c r="D105" s="4" t="s">
        <v>22</v>
      </c>
      <c r="E105" s="4" t="s">
        <v>20</v>
      </c>
      <c r="F105" s="4" t="s">
        <v>21</v>
      </c>
      <c r="G105" s="4" t="s">
        <v>11</v>
      </c>
      <c r="H105" s="5">
        <v>16255.0</v>
      </c>
      <c r="I105" s="4" t="s">
        <v>47</v>
      </c>
    </row>
    <row r="106">
      <c r="A106" s="4" t="s">
        <v>276</v>
      </c>
      <c r="B106" s="4" t="s">
        <v>220</v>
      </c>
      <c r="C106" s="4" t="s">
        <v>57</v>
      </c>
      <c r="D106" s="4" t="s">
        <v>19</v>
      </c>
      <c r="E106" s="4" t="s">
        <v>58</v>
      </c>
      <c r="F106" s="4" t="s">
        <v>41</v>
      </c>
      <c r="G106" s="4" t="s">
        <v>12</v>
      </c>
      <c r="H106" s="5">
        <v>13194.0</v>
      </c>
      <c r="I106" s="4" t="s">
        <v>23</v>
      </c>
    </row>
    <row r="107">
      <c r="A107" s="4" t="s">
        <v>277</v>
      </c>
      <c r="B107" s="4" t="s">
        <v>278</v>
      </c>
      <c r="C107" s="4" t="s">
        <v>76</v>
      </c>
      <c r="D107" s="4" t="s">
        <v>24</v>
      </c>
      <c r="E107" s="4" t="s">
        <v>58</v>
      </c>
      <c r="F107" s="4" t="s">
        <v>52</v>
      </c>
      <c r="G107" s="4" t="s">
        <v>12</v>
      </c>
      <c r="H107" s="5">
        <v>11000.0</v>
      </c>
      <c r="I107" s="4" t="s">
        <v>42</v>
      </c>
    </row>
    <row r="108">
      <c r="A108" s="4" t="s">
        <v>279</v>
      </c>
      <c r="B108" s="4" t="s">
        <v>280</v>
      </c>
      <c r="C108" s="4" t="s">
        <v>57</v>
      </c>
      <c r="D108" s="4" t="s">
        <v>19</v>
      </c>
      <c r="E108" s="4" t="s">
        <v>58</v>
      </c>
      <c r="F108" s="4" t="s">
        <v>41</v>
      </c>
      <c r="G108" s="4" t="s">
        <v>11</v>
      </c>
      <c r="H108" s="5">
        <v>11734.0</v>
      </c>
      <c r="I108" s="4" t="s">
        <v>47</v>
      </c>
    </row>
    <row r="109">
      <c r="A109" s="4" t="s">
        <v>281</v>
      </c>
      <c r="B109" s="4" t="s">
        <v>136</v>
      </c>
      <c r="C109" s="4" t="s">
        <v>57</v>
      </c>
      <c r="D109" s="4" t="s">
        <v>19</v>
      </c>
      <c r="E109" s="4" t="s">
        <v>58</v>
      </c>
      <c r="F109" s="4" t="s">
        <v>41</v>
      </c>
      <c r="G109" s="4" t="s">
        <v>13</v>
      </c>
      <c r="H109" s="5">
        <v>13266.0</v>
      </c>
      <c r="I109" s="4" t="s">
        <v>47</v>
      </c>
    </row>
    <row r="110">
      <c r="A110" s="4" t="s">
        <v>282</v>
      </c>
      <c r="B110" s="4" t="s">
        <v>148</v>
      </c>
      <c r="C110" s="4" t="s">
        <v>76</v>
      </c>
      <c r="D110" s="4" t="s">
        <v>24</v>
      </c>
      <c r="E110" s="4" t="s">
        <v>46</v>
      </c>
      <c r="F110" s="4" t="s">
        <v>41</v>
      </c>
      <c r="G110" s="4" t="s">
        <v>12</v>
      </c>
      <c r="H110" s="5">
        <v>8164.0</v>
      </c>
      <c r="I110" s="4"/>
    </row>
    <row r="111">
      <c r="A111" s="4" t="s">
        <v>284</v>
      </c>
      <c r="B111" s="4" t="s">
        <v>240</v>
      </c>
      <c r="C111" s="4" t="s">
        <v>57</v>
      </c>
      <c r="D111" s="4" t="s">
        <v>19</v>
      </c>
      <c r="E111" s="4" t="s">
        <v>46</v>
      </c>
      <c r="F111" s="4" t="s">
        <v>21</v>
      </c>
      <c r="G111" s="4" t="s">
        <v>11</v>
      </c>
      <c r="H111" s="5">
        <v>11467.0</v>
      </c>
      <c r="I111" s="4" t="s">
        <v>37</v>
      </c>
    </row>
    <row r="112">
      <c r="A112" s="4" t="s">
        <v>285</v>
      </c>
      <c r="B112" s="4" t="s">
        <v>286</v>
      </c>
      <c r="C112" s="4" t="s">
        <v>18</v>
      </c>
      <c r="D112" s="4" t="s">
        <v>16</v>
      </c>
      <c r="E112" s="4" t="s">
        <v>46</v>
      </c>
      <c r="F112" s="4" t="s">
        <v>41</v>
      </c>
      <c r="G112" s="4" t="s">
        <v>12</v>
      </c>
      <c r="H112" s="5">
        <v>15887.0</v>
      </c>
      <c r="I112" s="4" t="s">
        <v>47</v>
      </c>
    </row>
    <row r="113">
      <c r="A113" s="4" t="s">
        <v>287</v>
      </c>
      <c r="B113" s="4" t="s">
        <v>288</v>
      </c>
      <c r="C113" s="4" t="s">
        <v>76</v>
      </c>
      <c r="D113" s="4" t="s">
        <v>24</v>
      </c>
      <c r="E113" s="4" t="s">
        <v>20</v>
      </c>
      <c r="F113" s="4" t="s">
        <v>52</v>
      </c>
      <c r="G113" s="4" t="s">
        <v>12</v>
      </c>
      <c r="H113" s="5">
        <v>7924.0</v>
      </c>
      <c r="I113" s="4" t="s">
        <v>42</v>
      </c>
    </row>
    <row r="114">
      <c r="A114" s="4" t="s">
        <v>289</v>
      </c>
      <c r="B114" s="4" t="s">
        <v>290</v>
      </c>
      <c r="C114" s="4" t="s">
        <v>45</v>
      </c>
      <c r="D114" s="4" t="s">
        <v>22</v>
      </c>
      <c r="E114" s="4" t="s">
        <v>20</v>
      </c>
      <c r="F114" s="4" t="s">
        <v>21</v>
      </c>
      <c r="G114" s="4" t="s">
        <v>11</v>
      </c>
      <c r="H114" s="5">
        <v>17329.0</v>
      </c>
      <c r="I114" s="4" t="s">
        <v>42</v>
      </c>
    </row>
    <row r="115">
      <c r="A115" s="4" t="s">
        <v>291</v>
      </c>
      <c r="B115" s="4" t="s">
        <v>292</v>
      </c>
      <c r="C115" s="4" t="s">
        <v>18</v>
      </c>
      <c r="D115" s="4" t="s">
        <v>16</v>
      </c>
      <c r="E115" s="4" t="s">
        <v>46</v>
      </c>
      <c r="F115" s="4" t="s">
        <v>52</v>
      </c>
      <c r="G115" s="4" t="s">
        <v>13</v>
      </c>
      <c r="H115" s="5">
        <v>13083.0</v>
      </c>
      <c r="I115" s="4" t="s">
        <v>37</v>
      </c>
    </row>
    <row r="116">
      <c r="A116" s="4" t="s">
        <v>293</v>
      </c>
      <c r="B116" s="4" t="s">
        <v>294</v>
      </c>
      <c r="C116" s="4" t="s">
        <v>18</v>
      </c>
      <c r="D116" s="4" t="s">
        <v>16</v>
      </c>
      <c r="E116" s="4" t="s">
        <v>46</v>
      </c>
      <c r="F116" s="4" t="s">
        <v>41</v>
      </c>
      <c r="G116" s="4" t="s">
        <v>11</v>
      </c>
      <c r="H116" s="5">
        <v>13845.0</v>
      </c>
      <c r="I116" s="4" t="s">
        <v>42</v>
      </c>
    </row>
    <row r="117">
      <c r="A117" s="4" t="s">
        <v>295</v>
      </c>
      <c r="B117" s="4" t="s">
        <v>296</v>
      </c>
      <c r="C117" s="4" t="s">
        <v>57</v>
      </c>
      <c r="D117" s="4" t="s">
        <v>19</v>
      </c>
      <c r="E117" s="4" t="s">
        <v>58</v>
      </c>
      <c r="F117" s="4" t="s">
        <v>52</v>
      </c>
      <c r="G117" s="4" t="s">
        <v>11</v>
      </c>
      <c r="H117" s="5">
        <v>13879.0</v>
      </c>
      <c r="I117" s="4"/>
    </row>
    <row r="118">
      <c r="A118" s="4" t="s">
        <v>297</v>
      </c>
      <c r="B118" s="4" t="s">
        <v>298</v>
      </c>
      <c r="C118" s="4" t="s">
        <v>45</v>
      </c>
      <c r="D118" s="4" t="s">
        <v>22</v>
      </c>
      <c r="E118" s="4" t="s">
        <v>20</v>
      </c>
      <c r="F118" s="4" t="s">
        <v>52</v>
      </c>
      <c r="G118" s="4" t="s">
        <v>12</v>
      </c>
      <c r="H118" s="5">
        <v>18292.0</v>
      </c>
      <c r="I118" s="4" t="s">
        <v>23</v>
      </c>
    </row>
    <row r="119">
      <c r="A119" s="4" t="s">
        <v>299</v>
      </c>
      <c r="B119" s="4" t="s">
        <v>300</v>
      </c>
      <c r="C119" s="4" t="s">
        <v>57</v>
      </c>
      <c r="D119" s="4" t="s">
        <v>19</v>
      </c>
      <c r="E119" s="4" t="s">
        <v>20</v>
      </c>
      <c r="F119" s="4" t="s">
        <v>41</v>
      </c>
      <c r="G119" s="4" t="s">
        <v>11</v>
      </c>
      <c r="H119" s="5">
        <v>14385.0</v>
      </c>
      <c r="I119" s="4" t="s">
        <v>23</v>
      </c>
    </row>
    <row r="120">
      <c r="A120" s="4" t="s">
        <v>301</v>
      </c>
      <c r="B120" s="4" t="s">
        <v>302</v>
      </c>
      <c r="C120" s="4" t="s">
        <v>45</v>
      </c>
      <c r="D120" s="4" t="s">
        <v>22</v>
      </c>
      <c r="E120" s="4" t="s">
        <v>20</v>
      </c>
      <c r="F120" s="4" t="s">
        <v>52</v>
      </c>
      <c r="G120" s="4" t="s">
        <v>12</v>
      </c>
      <c r="H120" s="5">
        <v>18773.0</v>
      </c>
      <c r="I120" s="4" t="s">
        <v>47</v>
      </c>
    </row>
    <row r="121">
      <c r="A121" s="4" t="s">
        <v>304</v>
      </c>
      <c r="B121" s="4" t="s">
        <v>305</v>
      </c>
      <c r="C121" s="4" t="s">
        <v>45</v>
      </c>
      <c r="D121" s="4" t="s">
        <v>22</v>
      </c>
      <c r="E121" s="4" t="s">
        <v>20</v>
      </c>
      <c r="F121" s="4" t="s">
        <v>21</v>
      </c>
      <c r="G121" s="4" t="s">
        <v>11</v>
      </c>
      <c r="H121" s="5">
        <v>17049.0</v>
      </c>
      <c r="I121" s="4" t="s">
        <v>42</v>
      </c>
    </row>
    <row r="122">
      <c r="A122" s="4" t="s">
        <v>306</v>
      </c>
      <c r="B122" s="4" t="s">
        <v>286</v>
      </c>
      <c r="C122" s="4" t="s">
        <v>18</v>
      </c>
      <c r="D122" s="4" t="s">
        <v>16</v>
      </c>
      <c r="E122" s="4" t="s">
        <v>58</v>
      </c>
      <c r="F122" s="4" t="s">
        <v>52</v>
      </c>
      <c r="G122" s="4" t="s">
        <v>11</v>
      </c>
      <c r="H122" s="5">
        <v>14472.0</v>
      </c>
      <c r="I122" s="4" t="s">
        <v>47</v>
      </c>
    </row>
    <row r="123">
      <c r="A123" s="4" t="s">
        <v>309</v>
      </c>
      <c r="B123" s="4" t="s">
        <v>310</v>
      </c>
      <c r="C123" s="4" t="s">
        <v>18</v>
      </c>
      <c r="D123" s="4" t="s">
        <v>16</v>
      </c>
      <c r="E123" s="4" t="s">
        <v>20</v>
      </c>
      <c r="F123" s="4" t="s">
        <v>21</v>
      </c>
      <c r="G123" s="4" t="s">
        <v>12</v>
      </c>
      <c r="H123" s="5">
        <v>12164.0</v>
      </c>
      <c r="I123" s="4" t="s">
        <v>23</v>
      </c>
    </row>
    <row r="124">
      <c r="A124" s="4" t="s">
        <v>311</v>
      </c>
      <c r="B124" s="4" t="s">
        <v>255</v>
      </c>
      <c r="C124" s="4" t="s">
        <v>76</v>
      </c>
      <c r="D124" s="4" t="s">
        <v>24</v>
      </c>
      <c r="E124" s="4" t="s">
        <v>58</v>
      </c>
      <c r="F124" s="4" t="s">
        <v>41</v>
      </c>
      <c r="G124" s="4" t="s">
        <v>12</v>
      </c>
      <c r="H124" s="5">
        <v>8785.0</v>
      </c>
      <c r="I124" s="4"/>
    </row>
    <row r="125">
      <c r="A125" s="4" t="s">
        <v>315</v>
      </c>
      <c r="B125" s="4" t="s">
        <v>240</v>
      </c>
      <c r="C125" s="4" t="s">
        <v>76</v>
      </c>
      <c r="D125" s="4" t="s">
        <v>24</v>
      </c>
      <c r="E125" s="4" t="s">
        <v>58</v>
      </c>
      <c r="F125" s="4" t="s">
        <v>21</v>
      </c>
      <c r="G125" s="4" t="s">
        <v>12</v>
      </c>
      <c r="H125" s="5">
        <v>7428.0</v>
      </c>
      <c r="I125" s="4" t="s">
        <v>23</v>
      </c>
    </row>
    <row r="126">
      <c r="A126" s="4" t="s">
        <v>318</v>
      </c>
      <c r="B126" s="4" t="s">
        <v>134</v>
      </c>
      <c r="C126" s="4" t="s">
        <v>76</v>
      </c>
      <c r="D126" s="4" t="s">
        <v>24</v>
      </c>
      <c r="E126" s="4" t="s">
        <v>58</v>
      </c>
      <c r="F126" s="4" t="s">
        <v>52</v>
      </c>
      <c r="G126" s="4" t="s">
        <v>11</v>
      </c>
      <c r="H126" s="5">
        <v>10332.0</v>
      </c>
      <c r="I126" s="4" t="s">
        <v>42</v>
      </c>
    </row>
    <row r="127">
      <c r="A127" s="4" t="s">
        <v>321</v>
      </c>
      <c r="B127" s="4" t="s">
        <v>286</v>
      </c>
      <c r="C127" s="4" t="s">
        <v>45</v>
      </c>
      <c r="D127" s="4" t="s">
        <v>22</v>
      </c>
      <c r="E127" s="4" t="s">
        <v>58</v>
      </c>
      <c r="F127" s="4" t="s">
        <v>21</v>
      </c>
      <c r="G127" s="4" t="s">
        <v>13</v>
      </c>
      <c r="H127" s="5">
        <v>18973.0</v>
      </c>
      <c r="I127" s="4"/>
    </row>
    <row r="128">
      <c r="A128" s="4" t="s">
        <v>325</v>
      </c>
      <c r="B128" s="4" t="s">
        <v>138</v>
      </c>
      <c r="C128" s="4" t="s">
        <v>18</v>
      </c>
      <c r="D128" s="4" t="s">
        <v>16</v>
      </c>
      <c r="E128" s="4" t="s">
        <v>20</v>
      </c>
      <c r="F128" s="4" t="s">
        <v>52</v>
      </c>
      <c r="G128" s="4" t="s">
        <v>11</v>
      </c>
      <c r="H128" s="5">
        <v>13692.0</v>
      </c>
      <c r="I128" s="4" t="s">
        <v>37</v>
      </c>
    </row>
    <row r="129">
      <c r="A129" s="4" t="s">
        <v>326</v>
      </c>
      <c r="B129" s="4" t="s">
        <v>274</v>
      </c>
      <c r="C129" s="4" t="s">
        <v>76</v>
      </c>
      <c r="D129" s="4" t="s">
        <v>24</v>
      </c>
      <c r="E129" s="4" t="s">
        <v>20</v>
      </c>
      <c r="F129" s="4" t="s">
        <v>21</v>
      </c>
      <c r="G129" s="4" t="s">
        <v>13</v>
      </c>
      <c r="H129" s="5">
        <v>7833.0</v>
      </c>
      <c r="I129" s="4" t="s">
        <v>47</v>
      </c>
    </row>
    <row r="130">
      <c r="A130" s="4" t="s">
        <v>329</v>
      </c>
      <c r="B130" s="4" t="s">
        <v>331</v>
      </c>
      <c r="C130" s="4" t="s">
        <v>76</v>
      </c>
      <c r="D130" s="4" t="s">
        <v>24</v>
      </c>
      <c r="E130" s="4" t="s">
        <v>20</v>
      </c>
      <c r="F130" s="4" t="s">
        <v>21</v>
      </c>
      <c r="G130" s="4" t="s">
        <v>13</v>
      </c>
      <c r="H130" s="5">
        <v>7118.0</v>
      </c>
      <c r="I130" s="4" t="s">
        <v>42</v>
      </c>
    </row>
    <row r="131">
      <c r="A131" s="4" t="s">
        <v>335</v>
      </c>
      <c r="B131" s="4" t="s">
        <v>278</v>
      </c>
      <c r="C131" s="4" t="s">
        <v>57</v>
      </c>
      <c r="D131" s="4" t="s">
        <v>19</v>
      </c>
      <c r="E131" s="4" t="s">
        <v>58</v>
      </c>
      <c r="F131" s="4" t="s">
        <v>52</v>
      </c>
      <c r="G131" s="4" t="s">
        <v>13</v>
      </c>
      <c r="H131" s="5">
        <v>13262.0</v>
      </c>
      <c r="I131" s="4"/>
    </row>
    <row r="132">
      <c r="A132" s="4" t="s">
        <v>339</v>
      </c>
      <c r="B132" s="4" t="s">
        <v>218</v>
      </c>
      <c r="C132" s="4" t="s">
        <v>18</v>
      </c>
      <c r="D132" s="4" t="s">
        <v>16</v>
      </c>
      <c r="E132" s="4" t="s">
        <v>58</v>
      </c>
      <c r="F132" s="4" t="s">
        <v>41</v>
      </c>
      <c r="G132" s="4" t="s">
        <v>12</v>
      </c>
      <c r="H132" s="5">
        <v>15408.0</v>
      </c>
      <c r="I132" s="4" t="s">
        <v>23</v>
      </c>
    </row>
    <row r="133">
      <c r="A133" s="4" t="s">
        <v>342</v>
      </c>
      <c r="B133" s="4" t="s">
        <v>343</v>
      </c>
      <c r="C133" s="4" t="s">
        <v>45</v>
      </c>
      <c r="D133" s="4" t="s">
        <v>22</v>
      </c>
      <c r="E133" s="4" t="s">
        <v>20</v>
      </c>
      <c r="F133" s="4" t="s">
        <v>52</v>
      </c>
      <c r="G133" s="4" t="s">
        <v>11</v>
      </c>
      <c r="H133" s="5">
        <v>16701.0</v>
      </c>
      <c r="I133" s="4"/>
    </row>
    <row r="134">
      <c r="A134" s="4" t="s">
        <v>346</v>
      </c>
      <c r="B134" s="4" t="s">
        <v>44</v>
      </c>
      <c r="C134" s="4" t="s">
        <v>57</v>
      </c>
      <c r="D134" s="4" t="s">
        <v>19</v>
      </c>
      <c r="E134" s="4" t="s">
        <v>58</v>
      </c>
      <c r="F134" s="4" t="s">
        <v>41</v>
      </c>
      <c r="G134" s="4" t="s">
        <v>12</v>
      </c>
      <c r="H134" s="5">
        <v>13081.0</v>
      </c>
      <c r="I134" s="4" t="s">
        <v>23</v>
      </c>
    </row>
    <row r="135">
      <c r="A135" s="4" t="s">
        <v>350</v>
      </c>
      <c r="B135" s="4" t="s">
        <v>351</v>
      </c>
      <c r="C135" s="4" t="s">
        <v>76</v>
      </c>
      <c r="D135" s="4" t="s">
        <v>24</v>
      </c>
      <c r="E135" s="4" t="s">
        <v>58</v>
      </c>
      <c r="F135" s="4" t="s">
        <v>52</v>
      </c>
      <c r="G135" s="4" t="s">
        <v>11</v>
      </c>
      <c r="H135" s="5">
        <v>10360.0</v>
      </c>
      <c r="I135" s="4" t="s">
        <v>37</v>
      </c>
    </row>
    <row r="136">
      <c r="A136" s="4" t="s">
        <v>354</v>
      </c>
      <c r="B136" s="4" t="s">
        <v>355</v>
      </c>
      <c r="C136" s="4" t="s">
        <v>76</v>
      </c>
      <c r="D136" s="4" t="s">
        <v>24</v>
      </c>
      <c r="E136" s="4" t="s">
        <v>46</v>
      </c>
      <c r="F136" s="4" t="s">
        <v>21</v>
      </c>
      <c r="G136" s="4" t="s">
        <v>12</v>
      </c>
      <c r="H136" s="5">
        <v>8983.0</v>
      </c>
      <c r="I136" s="4" t="s">
        <v>47</v>
      </c>
    </row>
    <row r="137">
      <c r="A137" s="4" t="s">
        <v>356</v>
      </c>
      <c r="B137" s="4" t="s">
        <v>108</v>
      </c>
      <c r="C137" s="4" t="s">
        <v>76</v>
      </c>
      <c r="D137" s="4" t="s">
        <v>24</v>
      </c>
      <c r="E137" s="4" t="s">
        <v>58</v>
      </c>
      <c r="F137" s="4" t="s">
        <v>21</v>
      </c>
      <c r="G137" s="4" t="s">
        <v>13</v>
      </c>
      <c r="H137" s="5">
        <v>9856.0</v>
      </c>
      <c r="I137" s="4" t="s">
        <v>23</v>
      </c>
    </row>
    <row r="138">
      <c r="A138" s="4" t="s">
        <v>358</v>
      </c>
      <c r="B138" s="4" t="s">
        <v>359</v>
      </c>
      <c r="C138" s="4" t="s">
        <v>76</v>
      </c>
      <c r="D138" s="4" t="s">
        <v>24</v>
      </c>
      <c r="E138" s="4" t="s">
        <v>46</v>
      </c>
      <c r="F138" s="4" t="s">
        <v>21</v>
      </c>
      <c r="G138" s="4" t="s">
        <v>12</v>
      </c>
      <c r="H138" s="5">
        <v>8937.0</v>
      </c>
      <c r="I138" s="4"/>
    </row>
    <row r="139">
      <c r="A139" s="4" t="s">
        <v>360</v>
      </c>
      <c r="B139" s="4" t="s">
        <v>361</v>
      </c>
      <c r="C139" s="4" t="s">
        <v>57</v>
      </c>
      <c r="D139" s="4" t="s">
        <v>19</v>
      </c>
      <c r="E139" s="4" t="s">
        <v>58</v>
      </c>
      <c r="F139" s="4" t="s">
        <v>41</v>
      </c>
      <c r="G139" s="4" t="s">
        <v>13</v>
      </c>
      <c r="H139" s="5">
        <v>13057.0</v>
      </c>
      <c r="I139" s="4" t="s">
        <v>42</v>
      </c>
    </row>
    <row r="140">
      <c r="A140" s="4" t="s">
        <v>362</v>
      </c>
      <c r="B140" s="4" t="s">
        <v>127</v>
      </c>
      <c r="C140" s="4" t="s">
        <v>76</v>
      </c>
      <c r="D140" s="4" t="s">
        <v>24</v>
      </c>
      <c r="E140" s="4" t="s">
        <v>46</v>
      </c>
      <c r="F140" s="4" t="s">
        <v>52</v>
      </c>
      <c r="G140" s="4" t="s">
        <v>11</v>
      </c>
      <c r="H140" s="5">
        <v>7062.0</v>
      </c>
      <c r="I140" s="4" t="s">
        <v>23</v>
      </c>
    </row>
    <row r="141">
      <c r="A141" s="4" t="s">
        <v>364</v>
      </c>
      <c r="B141" s="4" t="s">
        <v>251</v>
      </c>
      <c r="C141" s="4" t="s">
        <v>57</v>
      </c>
      <c r="D141" s="4" t="s">
        <v>19</v>
      </c>
      <c r="E141" s="4" t="s">
        <v>46</v>
      </c>
      <c r="F141" s="4" t="s">
        <v>21</v>
      </c>
      <c r="G141" s="4" t="s">
        <v>11</v>
      </c>
      <c r="H141" s="5">
        <v>12386.0</v>
      </c>
      <c r="I141" s="4" t="s">
        <v>42</v>
      </c>
    </row>
    <row r="142">
      <c r="A142" s="4" t="s">
        <v>365</v>
      </c>
      <c r="B142" s="4" t="s">
        <v>366</v>
      </c>
      <c r="C142" s="4" t="s">
        <v>18</v>
      </c>
      <c r="D142" s="4" t="s">
        <v>16</v>
      </c>
      <c r="E142" s="4" t="s">
        <v>58</v>
      </c>
      <c r="F142" s="4" t="s">
        <v>52</v>
      </c>
      <c r="G142" s="4" t="s">
        <v>12</v>
      </c>
      <c r="H142" s="5">
        <v>13556.0</v>
      </c>
      <c r="I142" s="4" t="s">
        <v>47</v>
      </c>
    </row>
    <row r="143">
      <c r="A143" s="4" t="s">
        <v>367</v>
      </c>
      <c r="B143" s="4" t="s">
        <v>368</v>
      </c>
      <c r="C143" s="4" t="s">
        <v>76</v>
      </c>
      <c r="D143" s="4" t="s">
        <v>24</v>
      </c>
      <c r="E143" s="4" t="s">
        <v>20</v>
      </c>
      <c r="F143" s="4" t="s">
        <v>41</v>
      </c>
      <c r="G143" s="4" t="s">
        <v>12</v>
      </c>
      <c r="H143" s="5">
        <v>7280.0</v>
      </c>
      <c r="I143" s="4" t="s">
        <v>23</v>
      </c>
    </row>
    <row r="144">
      <c r="A144" s="4" t="s">
        <v>369</v>
      </c>
      <c r="B144" s="4" t="s">
        <v>370</v>
      </c>
      <c r="C144" s="4" t="s">
        <v>57</v>
      </c>
      <c r="D144" s="4" t="s">
        <v>19</v>
      </c>
      <c r="E144" s="4" t="s">
        <v>20</v>
      </c>
      <c r="F144" s="4" t="s">
        <v>41</v>
      </c>
      <c r="G144" s="4" t="s">
        <v>11</v>
      </c>
      <c r="H144" s="5">
        <v>11403.0</v>
      </c>
      <c r="I144" s="4" t="s">
        <v>37</v>
      </c>
    </row>
    <row r="145">
      <c r="A145" s="4" t="s">
        <v>371</v>
      </c>
      <c r="B145" s="4" t="s">
        <v>372</v>
      </c>
      <c r="C145" s="4" t="s">
        <v>45</v>
      </c>
      <c r="D145" s="4" t="s">
        <v>22</v>
      </c>
      <c r="E145" s="4" t="s">
        <v>46</v>
      </c>
      <c r="F145" s="4" t="s">
        <v>41</v>
      </c>
      <c r="G145" s="4" t="s">
        <v>11</v>
      </c>
      <c r="H145" s="5">
        <v>18261.0</v>
      </c>
      <c r="I145" s="4" t="s">
        <v>37</v>
      </c>
    </row>
    <row r="146">
      <c r="A146" s="4" t="s">
        <v>373</v>
      </c>
      <c r="B146" s="4" t="s">
        <v>374</v>
      </c>
      <c r="C146" s="4" t="s">
        <v>76</v>
      </c>
      <c r="D146" s="4" t="s">
        <v>24</v>
      </c>
      <c r="E146" s="4" t="s">
        <v>46</v>
      </c>
      <c r="F146" s="4" t="s">
        <v>41</v>
      </c>
      <c r="G146" s="4" t="s">
        <v>12</v>
      </c>
      <c r="H146" s="5">
        <v>8687.0</v>
      </c>
      <c r="I146" s="4" t="s">
        <v>42</v>
      </c>
    </row>
    <row r="147">
      <c r="A147" s="4" t="s">
        <v>376</v>
      </c>
      <c r="B147" s="4" t="s">
        <v>92</v>
      </c>
      <c r="C147" s="4" t="s">
        <v>57</v>
      </c>
      <c r="D147" s="4" t="s">
        <v>19</v>
      </c>
      <c r="E147" s="4" t="s">
        <v>46</v>
      </c>
      <c r="F147" s="4" t="s">
        <v>41</v>
      </c>
      <c r="G147" s="4" t="s">
        <v>12</v>
      </c>
      <c r="H147" s="5">
        <v>14566.0</v>
      </c>
      <c r="I147" s="4"/>
    </row>
    <row r="148">
      <c r="A148" s="4" t="s">
        <v>377</v>
      </c>
      <c r="B148" s="4" t="s">
        <v>298</v>
      </c>
      <c r="C148" s="4" t="s">
        <v>76</v>
      </c>
      <c r="D148" s="4" t="s">
        <v>24</v>
      </c>
      <c r="E148" s="4" t="s">
        <v>20</v>
      </c>
      <c r="F148" s="4" t="s">
        <v>41</v>
      </c>
      <c r="G148" s="4" t="s">
        <v>13</v>
      </c>
      <c r="H148" s="5">
        <v>8888.0</v>
      </c>
      <c r="I148" s="4" t="s">
        <v>47</v>
      </c>
    </row>
    <row r="149">
      <c r="A149" s="4" t="s">
        <v>378</v>
      </c>
      <c r="B149" s="4" t="s">
        <v>379</v>
      </c>
      <c r="C149" s="4" t="s">
        <v>18</v>
      </c>
      <c r="D149" s="4" t="s">
        <v>16</v>
      </c>
      <c r="E149" s="4" t="s">
        <v>58</v>
      </c>
      <c r="F149" s="4" t="s">
        <v>21</v>
      </c>
      <c r="G149" s="4" t="s">
        <v>12</v>
      </c>
      <c r="H149" s="5">
        <v>14238.0</v>
      </c>
      <c r="I149" s="4" t="s">
        <v>23</v>
      </c>
    </row>
    <row r="150">
      <c r="A150" s="4" t="s">
        <v>380</v>
      </c>
      <c r="B150" s="4" t="s">
        <v>240</v>
      </c>
      <c r="C150" s="4" t="s">
        <v>45</v>
      </c>
      <c r="D150" s="4" t="s">
        <v>22</v>
      </c>
      <c r="E150" s="4" t="s">
        <v>20</v>
      </c>
      <c r="F150" s="4" t="s">
        <v>21</v>
      </c>
      <c r="G150" s="4" t="s">
        <v>12</v>
      </c>
      <c r="H150" s="5">
        <v>16024.0</v>
      </c>
      <c r="I150" s="4"/>
    </row>
    <row r="151">
      <c r="A151" s="4" t="s">
        <v>381</v>
      </c>
      <c r="B151" s="4" t="s">
        <v>382</v>
      </c>
      <c r="C151" s="4" t="s">
        <v>76</v>
      </c>
      <c r="D151" s="4" t="s">
        <v>24</v>
      </c>
      <c r="E151" s="4" t="s">
        <v>58</v>
      </c>
      <c r="F151" s="4" t="s">
        <v>41</v>
      </c>
      <c r="G151" s="4" t="s">
        <v>13</v>
      </c>
      <c r="H151" s="5">
        <v>8562.0</v>
      </c>
      <c r="I151" s="4" t="s">
        <v>42</v>
      </c>
    </row>
    <row r="152">
      <c r="A152" s="4" t="s">
        <v>384</v>
      </c>
      <c r="B152" s="4" t="s">
        <v>385</v>
      </c>
      <c r="C152" s="4" t="s">
        <v>45</v>
      </c>
      <c r="D152" s="4" t="s">
        <v>22</v>
      </c>
      <c r="E152" s="4" t="s">
        <v>46</v>
      </c>
      <c r="F152" s="4" t="s">
        <v>52</v>
      </c>
      <c r="G152" s="4" t="s">
        <v>11</v>
      </c>
      <c r="H152" s="5">
        <v>16124.0</v>
      </c>
      <c r="I152" s="4" t="s">
        <v>37</v>
      </c>
    </row>
    <row r="153">
      <c r="A153" s="4" t="s">
        <v>386</v>
      </c>
      <c r="B153" s="4" t="s">
        <v>251</v>
      </c>
      <c r="C153" s="4" t="s">
        <v>18</v>
      </c>
      <c r="D153" s="4" t="s">
        <v>16</v>
      </c>
      <c r="E153" s="4" t="s">
        <v>20</v>
      </c>
      <c r="F153" s="4" t="s">
        <v>52</v>
      </c>
      <c r="G153" s="4" t="s">
        <v>11</v>
      </c>
      <c r="H153" s="5">
        <v>15411.0</v>
      </c>
      <c r="I153" s="4" t="s">
        <v>47</v>
      </c>
    </row>
    <row r="154">
      <c r="A154" s="4" t="s">
        <v>387</v>
      </c>
      <c r="B154" s="4" t="s">
        <v>388</v>
      </c>
      <c r="C154" s="4" t="s">
        <v>45</v>
      </c>
      <c r="D154" s="4" t="s">
        <v>22</v>
      </c>
      <c r="E154" s="4" t="s">
        <v>46</v>
      </c>
      <c r="F154" s="4" t="s">
        <v>52</v>
      </c>
      <c r="G154" s="4" t="s">
        <v>13</v>
      </c>
      <c r="H154" s="5">
        <v>17543.0</v>
      </c>
      <c r="I154" s="4" t="s">
        <v>47</v>
      </c>
    </row>
    <row r="155">
      <c r="A155" s="4" t="s">
        <v>389</v>
      </c>
      <c r="B155" s="4" t="s">
        <v>390</v>
      </c>
      <c r="C155" s="4" t="s">
        <v>57</v>
      </c>
      <c r="D155" s="4" t="s">
        <v>19</v>
      </c>
      <c r="E155" s="4" t="s">
        <v>20</v>
      </c>
      <c r="F155" s="4" t="s">
        <v>41</v>
      </c>
      <c r="G155" s="4" t="s">
        <v>12</v>
      </c>
      <c r="H155" s="5">
        <v>13647.0</v>
      </c>
      <c r="I155" s="4" t="s">
        <v>37</v>
      </c>
    </row>
    <row r="156">
      <c r="A156" s="4" t="s">
        <v>391</v>
      </c>
      <c r="B156" s="4" t="s">
        <v>392</v>
      </c>
      <c r="C156" s="4" t="s">
        <v>18</v>
      </c>
      <c r="D156" s="4" t="s">
        <v>16</v>
      </c>
      <c r="E156" s="4" t="s">
        <v>20</v>
      </c>
      <c r="F156" s="4" t="s">
        <v>21</v>
      </c>
      <c r="G156" s="4" t="s">
        <v>12</v>
      </c>
      <c r="H156" s="5">
        <v>12538.0</v>
      </c>
      <c r="I156" s="4" t="s">
        <v>37</v>
      </c>
    </row>
    <row r="157">
      <c r="A157" s="4" t="s">
        <v>393</v>
      </c>
      <c r="B157" s="4" t="s">
        <v>170</v>
      </c>
      <c r="C157" s="4" t="s">
        <v>76</v>
      </c>
      <c r="D157" s="4" t="s">
        <v>24</v>
      </c>
      <c r="E157" s="4" t="s">
        <v>46</v>
      </c>
      <c r="F157" s="4" t="s">
        <v>41</v>
      </c>
      <c r="G157" s="4" t="s">
        <v>13</v>
      </c>
      <c r="H157" s="5">
        <v>10221.0</v>
      </c>
      <c r="I157" s="4" t="s">
        <v>42</v>
      </c>
    </row>
    <row r="158">
      <c r="A158" s="4" t="s">
        <v>395</v>
      </c>
      <c r="B158" s="4" t="s">
        <v>396</v>
      </c>
      <c r="C158" s="4" t="s">
        <v>45</v>
      </c>
      <c r="D158" s="4" t="s">
        <v>22</v>
      </c>
      <c r="E158" s="4" t="s">
        <v>46</v>
      </c>
      <c r="F158" s="4" t="s">
        <v>21</v>
      </c>
      <c r="G158" s="4" t="s">
        <v>11</v>
      </c>
      <c r="H158" s="5">
        <v>18962.0</v>
      </c>
      <c r="I158" s="4" t="s">
        <v>47</v>
      </c>
    </row>
    <row r="159">
      <c r="A159" s="4" t="s">
        <v>397</v>
      </c>
      <c r="B159" s="4" t="s">
        <v>398</v>
      </c>
      <c r="C159" s="4" t="s">
        <v>18</v>
      </c>
      <c r="D159" s="4" t="s">
        <v>16</v>
      </c>
      <c r="E159" s="4" t="s">
        <v>58</v>
      </c>
      <c r="F159" s="4" t="s">
        <v>41</v>
      </c>
      <c r="G159" s="4" t="s">
        <v>13</v>
      </c>
      <c r="H159" s="5">
        <v>15089.0</v>
      </c>
      <c r="I159" s="4" t="s">
        <v>23</v>
      </c>
    </row>
    <row r="160">
      <c r="A160" s="4" t="s">
        <v>399</v>
      </c>
      <c r="B160" s="4" t="s">
        <v>400</v>
      </c>
      <c r="C160" s="4" t="s">
        <v>76</v>
      </c>
      <c r="D160" s="4" t="s">
        <v>24</v>
      </c>
      <c r="E160" s="4" t="s">
        <v>20</v>
      </c>
      <c r="F160" s="4" t="s">
        <v>21</v>
      </c>
      <c r="G160" s="4" t="s">
        <v>13</v>
      </c>
      <c r="H160" s="5">
        <v>10238.0</v>
      </c>
      <c r="I160" s="4"/>
    </row>
    <row r="161">
      <c r="A161" s="4" t="s">
        <v>402</v>
      </c>
      <c r="B161" s="4" t="s">
        <v>403</v>
      </c>
      <c r="C161" s="4" t="s">
        <v>18</v>
      </c>
      <c r="D161" s="4" t="s">
        <v>16</v>
      </c>
      <c r="E161" s="4" t="s">
        <v>58</v>
      </c>
      <c r="F161" s="4" t="s">
        <v>21</v>
      </c>
      <c r="G161" s="4" t="s">
        <v>12</v>
      </c>
      <c r="H161" s="5">
        <v>15067.0</v>
      </c>
      <c r="I161" s="4" t="s">
        <v>47</v>
      </c>
    </row>
    <row r="162">
      <c r="A162" s="4" t="s">
        <v>404</v>
      </c>
      <c r="B162" s="4" t="s">
        <v>405</v>
      </c>
      <c r="C162" s="4" t="s">
        <v>45</v>
      </c>
      <c r="D162" s="4" t="s">
        <v>22</v>
      </c>
      <c r="E162" s="4" t="s">
        <v>46</v>
      </c>
      <c r="F162" s="4" t="s">
        <v>52</v>
      </c>
      <c r="G162" s="4" t="s">
        <v>13</v>
      </c>
      <c r="H162" s="5">
        <v>16931.0</v>
      </c>
      <c r="I162" s="4" t="s">
        <v>37</v>
      </c>
    </row>
    <row r="163">
      <c r="A163" s="4" t="s">
        <v>406</v>
      </c>
      <c r="B163" s="4" t="s">
        <v>111</v>
      </c>
      <c r="C163" s="4" t="s">
        <v>45</v>
      </c>
      <c r="D163" s="4" t="s">
        <v>22</v>
      </c>
      <c r="E163" s="4" t="s">
        <v>20</v>
      </c>
      <c r="F163" s="4" t="s">
        <v>41</v>
      </c>
      <c r="G163" s="4" t="s">
        <v>12</v>
      </c>
      <c r="H163" s="5">
        <v>15258.0</v>
      </c>
      <c r="I163" s="4"/>
    </row>
    <row r="164">
      <c r="A164" s="4" t="s">
        <v>407</v>
      </c>
      <c r="B164" s="4" t="s">
        <v>355</v>
      </c>
      <c r="C164" s="4" t="s">
        <v>76</v>
      </c>
      <c r="D164" s="4" t="s">
        <v>24</v>
      </c>
      <c r="E164" s="4" t="s">
        <v>46</v>
      </c>
      <c r="F164" s="4" t="s">
        <v>41</v>
      </c>
      <c r="G164" s="4" t="s">
        <v>13</v>
      </c>
      <c r="H164" s="5">
        <v>10875.0</v>
      </c>
      <c r="I164" s="4" t="s">
        <v>37</v>
      </c>
    </row>
    <row r="165">
      <c r="A165" s="4" t="s">
        <v>408</v>
      </c>
      <c r="B165" s="4" t="s">
        <v>286</v>
      </c>
      <c r="C165" s="4" t="s">
        <v>18</v>
      </c>
      <c r="D165" s="4" t="s">
        <v>16</v>
      </c>
      <c r="E165" s="4" t="s">
        <v>46</v>
      </c>
      <c r="F165" s="4" t="s">
        <v>52</v>
      </c>
      <c r="G165" s="4" t="s">
        <v>13</v>
      </c>
      <c r="H165" s="5">
        <v>13591.0</v>
      </c>
      <c r="I165" s="4"/>
    </row>
    <row r="166">
      <c r="A166" s="4" t="s">
        <v>409</v>
      </c>
      <c r="B166" s="4" t="s">
        <v>400</v>
      </c>
      <c r="C166" s="4" t="s">
        <v>76</v>
      </c>
      <c r="D166" s="4" t="s">
        <v>24</v>
      </c>
      <c r="E166" s="4" t="s">
        <v>20</v>
      </c>
      <c r="F166" s="4" t="s">
        <v>52</v>
      </c>
      <c r="G166" s="4" t="s">
        <v>12</v>
      </c>
      <c r="H166" s="5">
        <v>7632.0</v>
      </c>
      <c r="I166" s="4"/>
    </row>
    <row r="167">
      <c r="A167" s="4" t="s">
        <v>410</v>
      </c>
      <c r="B167" s="4" t="s">
        <v>202</v>
      </c>
      <c r="C167" s="4" t="s">
        <v>76</v>
      </c>
      <c r="D167" s="4" t="s">
        <v>24</v>
      </c>
      <c r="E167" s="4" t="s">
        <v>20</v>
      </c>
      <c r="F167" s="4" t="s">
        <v>21</v>
      </c>
      <c r="G167" s="4" t="s">
        <v>11</v>
      </c>
      <c r="H167" s="5">
        <v>7134.0</v>
      </c>
      <c r="I167" s="4" t="s">
        <v>47</v>
      </c>
    </row>
    <row r="168">
      <c r="A168" s="4" t="s">
        <v>411</v>
      </c>
      <c r="B168" s="4" t="s">
        <v>290</v>
      </c>
      <c r="C168" s="4" t="s">
        <v>57</v>
      </c>
      <c r="D168" s="4" t="s">
        <v>19</v>
      </c>
      <c r="E168" s="4" t="s">
        <v>58</v>
      </c>
      <c r="F168" s="4" t="s">
        <v>41</v>
      </c>
      <c r="G168" s="4" t="s">
        <v>12</v>
      </c>
      <c r="H168" s="5">
        <v>12504.0</v>
      </c>
      <c r="I168" s="4" t="s">
        <v>42</v>
      </c>
    </row>
    <row r="169">
      <c r="A169" s="4" t="s">
        <v>412</v>
      </c>
      <c r="B169" s="4" t="s">
        <v>413</v>
      </c>
      <c r="C169" s="4" t="s">
        <v>18</v>
      </c>
      <c r="D169" s="4" t="s">
        <v>16</v>
      </c>
      <c r="E169" s="4" t="s">
        <v>58</v>
      </c>
      <c r="F169" s="4" t="s">
        <v>21</v>
      </c>
      <c r="G169" s="4" t="s">
        <v>13</v>
      </c>
      <c r="H169" s="5">
        <v>15965.0</v>
      </c>
      <c r="I169" s="4" t="s">
        <v>37</v>
      </c>
    </row>
    <row r="170">
      <c r="A170" s="4" t="s">
        <v>414</v>
      </c>
      <c r="B170" s="4" t="s">
        <v>415</v>
      </c>
      <c r="C170" s="4" t="s">
        <v>76</v>
      </c>
      <c r="D170" s="4" t="s">
        <v>24</v>
      </c>
      <c r="E170" s="4" t="s">
        <v>46</v>
      </c>
      <c r="F170" s="4" t="s">
        <v>52</v>
      </c>
      <c r="G170" s="4" t="s">
        <v>13</v>
      </c>
      <c r="H170" s="5">
        <v>9628.0</v>
      </c>
      <c r="I170" s="4" t="s">
        <v>42</v>
      </c>
    </row>
    <row r="171">
      <c r="A171" s="4" t="s">
        <v>416</v>
      </c>
      <c r="B171" s="4" t="s">
        <v>417</v>
      </c>
      <c r="C171" s="4" t="s">
        <v>45</v>
      </c>
      <c r="D171" s="4" t="s">
        <v>22</v>
      </c>
      <c r="E171" s="4" t="s">
        <v>46</v>
      </c>
      <c r="F171" s="4" t="s">
        <v>41</v>
      </c>
      <c r="G171" s="4" t="s">
        <v>12</v>
      </c>
      <c r="H171" s="5">
        <v>15840.0</v>
      </c>
      <c r="I171" s="4" t="s">
        <v>37</v>
      </c>
    </row>
    <row r="172">
      <c r="A172" s="4" t="s">
        <v>418</v>
      </c>
      <c r="B172" s="4" t="s">
        <v>172</v>
      </c>
      <c r="C172" s="4" t="s">
        <v>57</v>
      </c>
      <c r="D172" s="4" t="s">
        <v>19</v>
      </c>
      <c r="E172" s="4" t="s">
        <v>20</v>
      </c>
      <c r="F172" s="4" t="s">
        <v>41</v>
      </c>
      <c r="G172" s="4" t="s">
        <v>13</v>
      </c>
      <c r="H172" s="5">
        <v>12345.0</v>
      </c>
      <c r="I172" s="4" t="s">
        <v>23</v>
      </c>
    </row>
    <row r="173">
      <c r="A173" s="4" t="s">
        <v>419</v>
      </c>
      <c r="B173" s="4" t="s">
        <v>75</v>
      </c>
      <c r="C173" s="4" t="s">
        <v>18</v>
      </c>
      <c r="D173" s="4" t="s">
        <v>16</v>
      </c>
      <c r="E173" s="4" t="s">
        <v>58</v>
      </c>
      <c r="F173" s="4" t="s">
        <v>41</v>
      </c>
      <c r="G173" s="4" t="s">
        <v>13</v>
      </c>
      <c r="H173" s="5">
        <v>14212.0</v>
      </c>
      <c r="I173" s="4" t="s">
        <v>47</v>
      </c>
    </row>
    <row r="174">
      <c r="A174" s="4" t="s">
        <v>420</v>
      </c>
      <c r="B174" s="4" t="s">
        <v>421</v>
      </c>
      <c r="C174" s="4" t="s">
        <v>18</v>
      </c>
      <c r="D174" s="4" t="s">
        <v>16</v>
      </c>
      <c r="E174" s="4" t="s">
        <v>46</v>
      </c>
      <c r="F174" s="4" t="s">
        <v>41</v>
      </c>
      <c r="G174" s="4" t="s">
        <v>11</v>
      </c>
      <c r="H174" s="5">
        <v>15235.0</v>
      </c>
      <c r="I174" s="4" t="s">
        <v>23</v>
      </c>
    </row>
    <row r="175">
      <c r="A175" s="4" t="s">
        <v>423</v>
      </c>
      <c r="B175" s="4" t="s">
        <v>424</v>
      </c>
      <c r="C175" s="4" t="s">
        <v>57</v>
      </c>
      <c r="D175" s="4" t="s">
        <v>19</v>
      </c>
      <c r="E175" s="4" t="s">
        <v>58</v>
      </c>
      <c r="F175" s="4" t="s">
        <v>41</v>
      </c>
      <c r="G175" s="4" t="s">
        <v>13</v>
      </c>
      <c r="H175" s="5">
        <v>14038.0</v>
      </c>
      <c r="I175" s="4"/>
    </row>
    <row r="176">
      <c r="A176" s="4" t="s">
        <v>425</v>
      </c>
      <c r="B176" s="4" t="s">
        <v>220</v>
      </c>
      <c r="C176" s="4" t="s">
        <v>18</v>
      </c>
      <c r="D176" s="4" t="s">
        <v>16</v>
      </c>
      <c r="E176" s="4" t="s">
        <v>58</v>
      </c>
      <c r="F176" s="4" t="s">
        <v>21</v>
      </c>
      <c r="G176" s="4" t="s">
        <v>11</v>
      </c>
      <c r="H176" s="5">
        <v>14102.0</v>
      </c>
      <c r="I176" s="4" t="s">
        <v>42</v>
      </c>
    </row>
    <row r="177">
      <c r="A177" s="4" t="s">
        <v>426</v>
      </c>
      <c r="B177" s="4" t="s">
        <v>427</v>
      </c>
      <c r="C177" s="4" t="s">
        <v>57</v>
      </c>
      <c r="D177" s="4" t="s">
        <v>19</v>
      </c>
      <c r="E177" s="4" t="s">
        <v>20</v>
      </c>
      <c r="F177" s="4" t="s">
        <v>41</v>
      </c>
      <c r="G177" s="4" t="s">
        <v>12</v>
      </c>
      <c r="H177" s="5">
        <v>14208.0</v>
      </c>
      <c r="I177" s="4" t="s">
        <v>42</v>
      </c>
    </row>
    <row r="178">
      <c r="A178" s="4" t="s">
        <v>428</v>
      </c>
      <c r="B178" s="4" t="s">
        <v>429</v>
      </c>
      <c r="C178" s="4" t="s">
        <v>18</v>
      </c>
      <c r="D178" s="4" t="s">
        <v>16</v>
      </c>
      <c r="E178" s="4" t="s">
        <v>46</v>
      </c>
      <c r="F178" s="4" t="s">
        <v>21</v>
      </c>
      <c r="G178" s="4" t="s">
        <v>11</v>
      </c>
      <c r="H178" s="5">
        <v>13746.0</v>
      </c>
      <c r="I178" s="4" t="s">
        <v>37</v>
      </c>
    </row>
    <row r="179">
      <c r="A179" s="4" t="s">
        <v>430</v>
      </c>
      <c r="B179" s="4" t="s">
        <v>431</v>
      </c>
      <c r="C179" s="4" t="s">
        <v>18</v>
      </c>
      <c r="D179" s="4" t="s">
        <v>16</v>
      </c>
      <c r="E179" s="4" t="s">
        <v>46</v>
      </c>
      <c r="F179" s="4" t="s">
        <v>21</v>
      </c>
      <c r="G179" s="4" t="s">
        <v>12</v>
      </c>
      <c r="H179" s="5">
        <v>12607.0</v>
      </c>
      <c r="I179" s="4" t="s">
        <v>37</v>
      </c>
    </row>
    <row r="180">
      <c r="A180" s="4" t="s">
        <v>432</v>
      </c>
      <c r="B180" s="4" t="s">
        <v>154</v>
      </c>
      <c r="C180" s="4" t="s">
        <v>45</v>
      </c>
      <c r="D180" s="4" t="s">
        <v>22</v>
      </c>
      <c r="E180" s="4" t="s">
        <v>58</v>
      </c>
      <c r="F180" s="4" t="s">
        <v>52</v>
      </c>
      <c r="G180" s="4" t="s">
        <v>12</v>
      </c>
      <c r="H180" s="5">
        <v>16207.0</v>
      </c>
      <c r="I180" s="4"/>
    </row>
    <row r="181">
      <c r="A181" s="4" t="s">
        <v>433</v>
      </c>
      <c r="B181" s="4" t="s">
        <v>434</v>
      </c>
      <c r="C181" s="4" t="s">
        <v>18</v>
      </c>
      <c r="D181" s="4" t="s">
        <v>16</v>
      </c>
      <c r="E181" s="4" t="s">
        <v>20</v>
      </c>
      <c r="F181" s="4" t="s">
        <v>41</v>
      </c>
      <c r="G181" s="4" t="s">
        <v>12</v>
      </c>
      <c r="H181" s="5">
        <v>14666.0</v>
      </c>
      <c r="I181" s="4" t="s">
        <v>42</v>
      </c>
    </row>
    <row r="182">
      <c r="A182" s="4" t="s">
        <v>435</v>
      </c>
      <c r="B182" s="4" t="s">
        <v>261</v>
      </c>
      <c r="C182" s="4" t="s">
        <v>76</v>
      </c>
      <c r="D182" s="4" t="s">
        <v>24</v>
      </c>
      <c r="E182" s="4" t="s">
        <v>58</v>
      </c>
      <c r="F182" s="4" t="s">
        <v>41</v>
      </c>
      <c r="G182" s="4" t="s">
        <v>11</v>
      </c>
      <c r="H182" s="5">
        <v>8388.0</v>
      </c>
      <c r="I182" s="4"/>
    </row>
    <row r="183">
      <c r="A183" s="4" t="s">
        <v>436</v>
      </c>
      <c r="B183" s="4" t="s">
        <v>134</v>
      </c>
      <c r="C183" s="4" t="s">
        <v>18</v>
      </c>
      <c r="D183" s="4" t="s">
        <v>16</v>
      </c>
      <c r="E183" s="4" t="s">
        <v>58</v>
      </c>
      <c r="F183" s="4" t="s">
        <v>21</v>
      </c>
      <c r="G183" s="4" t="s">
        <v>11</v>
      </c>
      <c r="H183" s="5">
        <v>14724.0</v>
      </c>
      <c r="I183" s="4" t="s">
        <v>47</v>
      </c>
    </row>
    <row r="184">
      <c r="A184" s="4" t="s">
        <v>437</v>
      </c>
      <c r="B184" s="4" t="s">
        <v>148</v>
      </c>
      <c r="C184" s="4" t="s">
        <v>76</v>
      </c>
      <c r="D184" s="4" t="s">
        <v>24</v>
      </c>
      <c r="E184" s="4" t="s">
        <v>46</v>
      </c>
      <c r="F184" s="4" t="s">
        <v>41</v>
      </c>
      <c r="G184" s="4" t="s">
        <v>13</v>
      </c>
      <c r="H184" s="5">
        <v>7381.0</v>
      </c>
      <c r="I184" s="4"/>
    </row>
    <row r="185">
      <c r="A185" s="4" t="s">
        <v>438</v>
      </c>
      <c r="B185" s="4" t="s">
        <v>439</v>
      </c>
      <c r="C185" s="4" t="s">
        <v>45</v>
      </c>
      <c r="D185" s="4" t="s">
        <v>22</v>
      </c>
      <c r="E185" s="4" t="s">
        <v>46</v>
      </c>
      <c r="F185" s="4" t="s">
        <v>52</v>
      </c>
      <c r="G185" s="4" t="s">
        <v>13</v>
      </c>
      <c r="H185" s="5">
        <v>17402.0</v>
      </c>
      <c r="I185" s="4" t="s">
        <v>42</v>
      </c>
    </row>
    <row r="186">
      <c r="A186" s="4" t="s">
        <v>440</v>
      </c>
      <c r="B186" s="4" t="s">
        <v>192</v>
      </c>
      <c r="C186" s="4" t="s">
        <v>18</v>
      </c>
      <c r="D186" s="4" t="s">
        <v>16</v>
      </c>
      <c r="E186" s="4" t="s">
        <v>58</v>
      </c>
      <c r="F186" s="4" t="s">
        <v>21</v>
      </c>
      <c r="G186" s="4" t="s">
        <v>12</v>
      </c>
      <c r="H186" s="5">
        <v>15854.0</v>
      </c>
      <c r="I186" s="4"/>
    </row>
    <row r="187">
      <c r="A187" s="4" t="s">
        <v>441</v>
      </c>
      <c r="B187" s="4" t="s">
        <v>343</v>
      </c>
      <c r="C187" s="4" t="s">
        <v>18</v>
      </c>
      <c r="D187" s="4" t="s">
        <v>16</v>
      </c>
      <c r="E187" s="4" t="s">
        <v>58</v>
      </c>
      <c r="F187" s="4" t="s">
        <v>52</v>
      </c>
      <c r="G187" s="4" t="s">
        <v>11</v>
      </c>
      <c r="H187" s="5">
        <v>13440.0</v>
      </c>
      <c r="I187" s="4" t="s">
        <v>37</v>
      </c>
    </row>
    <row r="188">
      <c r="A188" s="4" t="s">
        <v>442</v>
      </c>
      <c r="B188" s="4" t="s">
        <v>443</v>
      </c>
      <c r="C188" s="4" t="s">
        <v>57</v>
      </c>
      <c r="D188" s="4" t="s">
        <v>19</v>
      </c>
      <c r="E188" s="4" t="s">
        <v>20</v>
      </c>
      <c r="F188" s="4" t="s">
        <v>21</v>
      </c>
      <c r="G188" s="4" t="s">
        <v>13</v>
      </c>
      <c r="H188" s="5">
        <v>14470.0</v>
      </c>
      <c r="I188" s="4" t="s">
        <v>37</v>
      </c>
    </row>
    <row r="189">
      <c r="A189" s="4" t="s">
        <v>444</v>
      </c>
      <c r="B189" s="4" t="s">
        <v>185</v>
      </c>
      <c r="C189" s="4" t="s">
        <v>45</v>
      </c>
      <c r="D189" s="4" t="s">
        <v>22</v>
      </c>
      <c r="E189" s="4" t="s">
        <v>46</v>
      </c>
      <c r="F189" s="4" t="s">
        <v>21</v>
      </c>
      <c r="G189" s="4" t="s">
        <v>12</v>
      </c>
      <c r="H189" s="5">
        <v>15926.0</v>
      </c>
      <c r="I189" s="4"/>
    </row>
    <row r="190">
      <c r="A190" s="4" t="s">
        <v>445</v>
      </c>
      <c r="B190" s="4" t="s">
        <v>108</v>
      </c>
      <c r="C190" s="4" t="s">
        <v>18</v>
      </c>
      <c r="D190" s="4" t="s">
        <v>16</v>
      </c>
      <c r="E190" s="4" t="s">
        <v>20</v>
      </c>
      <c r="F190" s="4" t="s">
        <v>52</v>
      </c>
      <c r="G190" s="4" t="s">
        <v>12</v>
      </c>
      <c r="H190" s="5">
        <v>13095.0</v>
      </c>
      <c r="I190" s="4" t="s">
        <v>37</v>
      </c>
    </row>
    <row r="191">
      <c r="A191" s="4" t="s">
        <v>447</v>
      </c>
      <c r="B191" s="4" t="s">
        <v>448</v>
      </c>
      <c r="C191" s="4" t="s">
        <v>45</v>
      </c>
      <c r="D191" s="4" t="s">
        <v>22</v>
      </c>
      <c r="E191" s="4" t="s">
        <v>58</v>
      </c>
      <c r="F191" s="4" t="s">
        <v>21</v>
      </c>
      <c r="G191" s="4" t="s">
        <v>13</v>
      </c>
      <c r="H191" s="5">
        <v>15743.0</v>
      </c>
      <c r="I191" s="4" t="s">
        <v>23</v>
      </c>
    </row>
    <row r="192">
      <c r="A192" s="4" t="s">
        <v>449</v>
      </c>
      <c r="B192" s="4" t="s">
        <v>119</v>
      </c>
      <c r="C192" s="4" t="s">
        <v>18</v>
      </c>
      <c r="D192" s="4" t="s">
        <v>16</v>
      </c>
      <c r="E192" s="4" t="s">
        <v>46</v>
      </c>
      <c r="F192" s="4" t="s">
        <v>52</v>
      </c>
      <c r="G192" s="4" t="s">
        <v>12</v>
      </c>
      <c r="H192" s="5">
        <v>15980.0</v>
      </c>
      <c r="I192" s="4" t="s">
        <v>37</v>
      </c>
    </row>
    <row r="193">
      <c r="A193" s="4" t="s">
        <v>450</v>
      </c>
      <c r="B193" s="4" t="s">
        <v>136</v>
      </c>
      <c r="C193" s="4" t="s">
        <v>57</v>
      </c>
      <c r="D193" s="4" t="s">
        <v>19</v>
      </c>
      <c r="E193" s="4" t="s">
        <v>58</v>
      </c>
      <c r="F193" s="4" t="s">
        <v>21</v>
      </c>
      <c r="G193" s="4" t="s">
        <v>11</v>
      </c>
      <c r="H193" s="5">
        <v>12396.0</v>
      </c>
      <c r="I193" s="4" t="s">
        <v>23</v>
      </c>
    </row>
    <row r="194">
      <c r="A194" s="4" t="s">
        <v>452</v>
      </c>
      <c r="B194" s="4" t="s">
        <v>448</v>
      </c>
      <c r="C194" s="4" t="s">
        <v>45</v>
      </c>
      <c r="D194" s="4" t="s">
        <v>22</v>
      </c>
      <c r="E194" s="4" t="s">
        <v>20</v>
      </c>
      <c r="F194" s="4" t="s">
        <v>52</v>
      </c>
      <c r="G194" s="4" t="s">
        <v>13</v>
      </c>
      <c r="H194" s="5">
        <v>18618.0</v>
      </c>
      <c r="I194" s="4" t="s">
        <v>37</v>
      </c>
    </row>
    <row r="195">
      <c r="A195" s="4" t="s">
        <v>453</v>
      </c>
      <c r="B195" s="4" t="s">
        <v>174</v>
      </c>
      <c r="C195" s="4" t="s">
        <v>18</v>
      </c>
      <c r="D195" s="4" t="s">
        <v>16</v>
      </c>
      <c r="E195" s="4" t="s">
        <v>20</v>
      </c>
      <c r="F195" s="4" t="s">
        <v>41</v>
      </c>
      <c r="G195" s="4" t="s">
        <v>11</v>
      </c>
      <c r="H195" s="5">
        <v>13814.0</v>
      </c>
      <c r="I195" s="4"/>
    </row>
    <row r="196">
      <c r="A196" s="4" t="s">
        <v>454</v>
      </c>
      <c r="B196" s="4" t="s">
        <v>455</v>
      </c>
      <c r="C196" s="4" t="s">
        <v>76</v>
      </c>
      <c r="D196" s="4" t="s">
        <v>24</v>
      </c>
      <c r="E196" s="4" t="s">
        <v>58</v>
      </c>
      <c r="F196" s="4" t="s">
        <v>41</v>
      </c>
      <c r="G196" s="4" t="s">
        <v>12</v>
      </c>
      <c r="H196" s="5">
        <v>7466.0</v>
      </c>
      <c r="I196" s="4" t="s">
        <v>47</v>
      </c>
    </row>
    <row r="197">
      <c r="A197" s="4" t="s">
        <v>457</v>
      </c>
      <c r="B197" s="4" t="s">
        <v>351</v>
      </c>
      <c r="C197" s="4" t="s">
        <v>76</v>
      </c>
      <c r="D197" s="4" t="s">
        <v>24</v>
      </c>
      <c r="E197" s="4" t="s">
        <v>20</v>
      </c>
      <c r="F197" s="4" t="s">
        <v>52</v>
      </c>
      <c r="G197" s="4" t="s">
        <v>11</v>
      </c>
      <c r="H197" s="5">
        <v>7186.0</v>
      </c>
      <c r="I197" s="4" t="s">
        <v>23</v>
      </c>
    </row>
    <row r="198">
      <c r="A198" s="4" t="s">
        <v>458</v>
      </c>
      <c r="B198" s="4" t="s">
        <v>459</v>
      </c>
      <c r="C198" s="4" t="s">
        <v>18</v>
      </c>
      <c r="D198" s="4" t="s">
        <v>16</v>
      </c>
      <c r="E198" s="4" t="s">
        <v>46</v>
      </c>
      <c r="F198" s="4" t="s">
        <v>21</v>
      </c>
      <c r="G198" s="4" t="s">
        <v>13</v>
      </c>
      <c r="H198" s="5">
        <v>15143.0</v>
      </c>
      <c r="I198" s="4" t="s">
        <v>23</v>
      </c>
    </row>
    <row r="199">
      <c r="A199" s="4" t="s">
        <v>460</v>
      </c>
      <c r="B199" s="4" t="s">
        <v>461</v>
      </c>
      <c r="C199" s="4" t="s">
        <v>45</v>
      </c>
      <c r="D199" s="4" t="s">
        <v>22</v>
      </c>
      <c r="E199" s="4" t="s">
        <v>46</v>
      </c>
      <c r="F199" s="4" t="s">
        <v>41</v>
      </c>
      <c r="G199" s="4" t="s">
        <v>11</v>
      </c>
      <c r="H199" s="5">
        <v>18059.0</v>
      </c>
      <c r="I199" s="4"/>
    </row>
    <row r="200">
      <c r="A200" s="4" t="s">
        <v>462</v>
      </c>
      <c r="B200" s="4" t="s">
        <v>463</v>
      </c>
      <c r="C200" s="4" t="s">
        <v>57</v>
      </c>
      <c r="D200" s="4" t="s">
        <v>19</v>
      </c>
      <c r="E200" s="4" t="s">
        <v>20</v>
      </c>
      <c r="F200" s="4" t="s">
        <v>52</v>
      </c>
      <c r="G200" s="4" t="s">
        <v>12</v>
      </c>
      <c r="H200" s="5">
        <v>14302.0</v>
      </c>
      <c r="I200" s="4" t="s">
        <v>47</v>
      </c>
    </row>
    <row r="201">
      <c r="A201" s="4" t="s">
        <v>464</v>
      </c>
      <c r="B201" s="4" t="s">
        <v>405</v>
      </c>
      <c r="C201" s="4" t="s">
        <v>18</v>
      </c>
      <c r="D201" s="4" t="s">
        <v>16</v>
      </c>
      <c r="E201" s="4" t="s">
        <v>58</v>
      </c>
      <c r="F201" s="4" t="s">
        <v>41</v>
      </c>
      <c r="G201" s="4" t="s">
        <v>11</v>
      </c>
      <c r="H201" s="5">
        <v>15773.0</v>
      </c>
      <c r="I201" s="4" t="s">
        <v>37</v>
      </c>
    </row>
    <row r="202">
      <c r="A202" s="4" t="s">
        <v>465</v>
      </c>
      <c r="B202" s="4" t="s">
        <v>51</v>
      </c>
      <c r="C202" s="4" t="s">
        <v>76</v>
      </c>
      <c r="D202" s="4" t="s">
        <v>24</v>
      </c>
      <c r="E202" s="4" t="s">
        <v>20</v>
      </c>
      <c r="F202" s="4" t="s">
        <v>21</v>
      </c>
      <c r="G202" s="4" t="s">
        <v>12</v>
      </c>
      <c r="H202" s="5">
        <v>9622.0</v>
      </c>
      <c r="I202" s="4"/>
    </row>
    <row r="203">
      <c r="A203" s="4" t="s">
        <v>466</v>
      </c>
      <c r="B203" s="4" t="s">
        <v>82</v>
      </c>
      <c r="C203" s="4" t="s">
        <v>18</v>
      </c>
      <c r="D203" s="4" t="s">
        <v>16</v>
      </c>
      <c r="E203" s="4" t="s">
        <v>58</v>
      </c>
      <c r="F203" s="4" t="s">
        <v>41</v>
      </c>
      <c r="G203" s="4" t="s">
        <v>12</v>
      </c>
      <c r="H203" s="5">
        <v>13884.0</v>
      </c>
      <c r="I203" s="4" t="s">
        <v>47</v>
      </c>
    </row>
    <row r="204">
      <c r="A204" s="4" t="s">
        <v>467</v>
      </c>
      <c r="B204" s="4" t="s">
        <v>405</v>
      </c>
      <c r="C204" s="4" t="s">
        <v>18</v>
      </c>
      <c r="D204" s="4" t="s">
        <v>16</v>
      </c>
      <c r="E204" s="4" t="s">
        <v>46</v>
      </c>
      <c r="F204" s="4" t="s">
        <v>21</v>
      </c>
      <c r="G204" s="4" t="s">
        <v>12</v>
      </c>
      <c r="H204" s="5">
        <v>13640.0</v>
      </c>
      <c r="I204" s="4" t="s">
        <v>42</v>
      </c>
    </row>
    <row r="205">
      <c r="A205" s="4" t="s">
        <v>468</v>
      </c>
      <c r="B205" s="4" t="s">
        <v>405</v>
      </c>
      <c r="C205" s="4" t="s">
        <v>45</v>
      </c>
      <c r="D205" s="4" t="s">
        <v>22</v>
      </c>
      <c r="E205" s="4" t="s">
        <v>20</v>
      </c>
      <c r="F205" s="4" t="s">
        <v>21</v>
      </c>
      <c r="G205" s="4" t="s">
        <v>13</v>
      </c>
      <c r="H205" s="5">
        <v>16364.0</v>
      </c>
      <c r="I205" s="4" t="s">
        <v>23</v>
      </c>
    </row>
    <row r="206">
      <c r="A206" s="4" t="s">
        <v>469</v>
      </c>
      <c r="B206" s="4" t="s">
        <v>255</v>
      </c>
      <c r="C206" s="4" t="s">
        <v>18</v>
      </c>
      <c r="D206" s="4" t="s">
        <v>16</v>
      </c>
      <c r="E206" s="4" t="s">
        <v>20</v>
      </c>
      <c r="F206" s="4" t="s">
        <v>52</v>
      </c>
      <c r="G206" s="4" t="s">
        <v>13</v>
      </c>
      <c r="H206" s="5">
        <v>15710.0</v>
      </c>
      <c r="I206" s="4" t="s">
        <v>47</v>
      </c>
    </row>
    <row r="207">
      <c r="A207" s="4" t="s">
        <v>470</v>
      </c>
      <c r="B207" s="4" t="s">
        <v>471</v>
      </c>
      <c r="C207" s="4" t="s">
        <v>57</v>
      </c>
      <c r="D207" s="4" t="s">
        <v>19</v>
      </c>
      <c r="E207" s="4" t="s">
        <v>46</v>
      </c>
      <c r="F207" s="4" t="s">
        <v>41</v>
      </c>
      <c r="G207" s="4" t="s">
        <v>13</v>
      </c>
      <c r="H207" s="5">
        <v>12048.0</v>
      </c>
      <c r="I207" s="4" t="s">
        <v>23</v>
      </c>
    </row>
    <row r="208">
      <c r="A208" s="4" t="s">
        <v>472</v>
      </c>
      <c r="B208" s="4" t="s">
        <v>473</v>
      </c>
      <c r="C208" s="4" t="s">
        <v>18</v>
      </c>
      <c r="D208" s="4" t="s">
        <v>16</v>
      </c>
      <c r="E208" s="4" t="s">
        <v>46</v>
      </c>
      <c r="F208" s="4" t="s">
        <v>52</v>
      </c>
      <c r="G208" s="4" t="s">
        <v>11</v>
      </c>
      <c r="H208" s="5">
        <v>13900.0</v>
      </c>
      <c r="I208" s="4" t="s">
        <v>42</v>
      </c>
    </row>
    <row r="209">
      <c r="A209" s="4" t="s">
        <v>474</v>
      </c>
      <c r="B209" s="4" t="s">
        <v>455</v>
      </c>
      <c r="C209" s="4" t="s">
        <v>45</v>
      </c>
      <c r="D209" s="4" t="s">
        <v>22</v>
      </c>
      <c r="E209" s="4" t="s">
        <v>20</v>
      </c>
      <c r="F209" s="4" t="s">
        <v>21</v>
      </c>
      <c r="G209" s="4" t="s">
        <v>13</v>
      </c>
      <c r="H209" s="5">
        <v>16801.0</v>
      </c>
      <c r="I209" s="4" t="s">
        <v>37</v>
      </c>
    </row>
    <row r="210">
      <c r="A210" s="4" t="s">
        <v>475</v>
      </c>
      <c r="B210" s="4" t="s">
        <v>429</v>
      </c>
      <c r="C210" s="4" t="s">
        <v>45</v>
      </c>
      <c r="D210" s="4" t="s">
        <v>22</v>
      </c>
      <c r="E210" s="4" t="s">
        <v>58</v>
      </c>
      <c r="F210" s="4" t="s">
        <v>52</v>
      </c>
      <c r="G210" s="4" t="s">
        <v>13</v>
      </c>
      <c r="H210" s="5">
        <v>16441.0</v>
      </c>
      <c r="I210" s="4" t="s">
        <v>42</v>
      </c>
    </row>
    <row r="211">
      <c r="A211" s="4" t="s">
        <v>476</v>
      </c>
      <c r="B211" s="4" t="s">
        <v>60</v>
      </c>
      <c r="C211" s="4" t="s">
        <v>76</v>
      </c>
      <c r="D211" s="4" t="s">
        <v>24</v>
      </c>
      <c r="E211" s="4" t="s">
        <v>46</v>
      </c>
      <c r="F211" s="4" t="s">
        <v>41</v>
      </c>
      <c r="G211" s="4" t="s">
        <v>11</v>
      </c>
      <c r="H211" s="5">
        <v>10406.0</v>
      </c>
      <c r="I211" s="4" t="s">
        <v>47</v>
      </c>
    </row>
    <row r="212">
      <c r="A212" s="4" t="s">
        <v>477</v>
      </c>
      <c r="B212" s="4" t="s">
        <v>257</v>
      </c>
      <c r="C212" s="4" t="s">
        <v>18</v>
      </c>
      <c r="D212" s="4" t="s">
        <v>16</v>
      </c>
      <c r="E212" s="4" t="s">
        <v>20</v>
      </c>
      <c r="F212" s="4" t="s">
        <v>52</v>
      </c>
      <c r="G212" s="4" t="s">
        <v>12</v>
      </c>
      <c r="H212" s="5">
        <v>13574.0</v>
      </c>
      <c r="I212" s="4"/>
    </row>
    <row r="213">
      <c r="A213" s="4" t="s">
        <v>478</v>
      </c>
      <c r="B213" s="4" t="s">
        <v>108</v>
      </c>
      <c r="C213" s="4" t="s">
        <v>18</v>
      </c>
      <c r="D213" s="4" t="s">
        <v>16</v>
      </c>
      <c r="E213" s="4" t="s">
        <v>58</v>
      </c>
      <c r="F213" s="4" t="s">
        <v>52</v>
      </c>
      <c r="G213" s="4" t="s">
        <v>12</v>
      </c>
      <c r="H213" s="5">
        <v>12771.0</v>
      </c>
      <c r="I213" s="4" t="s">
        <v>47</v>
      </c>
    </row>
    <row r="214">
      <c r="A214" s="4" t="s">
        <v>479</v>
      </c>
      <c r="B214" s="4" t="s">
        <v>427</v>
      </c>
      <c r="C214" s="4" t="s">
        <v>57</v>
      </c>
      <c r="D214" s="4" t="s">
        <v>19</v>
      </c>
      <c r="E214" s="4" t="s">
        <v>46</v>
      </c>
      <c r="F214" s="4" t="s">
        <v>21</v>
      </c>
      <c r="G214" s="4" t="s">
        <v>13</v>
      </c>
      <c r="H214" s="5">
        <v>14321.0</v>
      </c>
      <c r="I214" s="4" t="s">
        <v>47</v>
      </c>
    </row>
    <row r="215">
      <c r="A215" s="4" t="s">
        <v>480</v>
      </c>
      <c r="B215" s="4" t="s">
        <v>300</v>
      </c>
      <c r="C215" s="4" t="s">
        <v>57</v>
      </c>
      <c r="D215" s="4" t="s">
        <v>19</v>
      </c>
      <c r="E215" s="4" t="s">
        <v>46</v>
      </c>
      <c r="F215" s="4" t="s">
        <v>41</v>
      </c>
      <c r="G215" s="4" t="s">
        <v>12</v>
      </c>
      <c r="H215" s="5">
        <v>12793.0</v>
      </c>
      <c r="I215" s="4"/>
    </row>
    <row r="216">
      <c r="A216" s="4" t="s">
        <v>481</v>
      </c>
      <c r="B216" s="4" t="s">
        <v>482</v>
      </c>
      <c r="C216" s="4" t="s">
        <v>57</v>
      </c>
      <c r="D216" s="4" t="s">
        <v>19</v>
      </c>
      <c r="E216" s="4" t="s">
        <v>58</v>
      </c>
      <c r="F216" s="4" t="s">
        <v>21</v>
      </c>
      <c r="G216" s="4" t="s">
        <v>11</v>
      </c>
      <c r="H216" s="5">
        <v>12586.0</v>
      </c>
      <c r="I216" s="4"/>
    </row>
    <row r="217">
      <c r="A217" s="4" t="s">
        <v>483</v>
      </c>
      <c r="B217" s="4" t="s">
        <v>192</v>
      </c>
      <c r="C217" s="4" t="s">
        <v>18</v>
      </c>
      <c r="D217" s="4" t="s">
        <v>16</v>
      </c>
      <c r="E217" s="4" t="s">
        <v>20</v>
      </c>
      <c r="F217" s="4" t="s">
        <v>52</v>
      </c>
      <c r="G217" s="4" t="s">
        <v>11</v>
      </c>
      <c r="H217" s="5">
        <v>12269.0</v>
      </c>
      <c r="I217" s="4" t="s">
        <v>47</v>
      </c>
    </row>
    <row r="218">
      <c r="A218" s="4" t="s">
        <v>484</v>
      </c>
      <c r="B218" s="4" t="s">
        <v>255</v>
      </c>
      <c r="C218" s="4" t="s">
        <v>76</v>
      </c>
      <c r="D218" s="4" t="s">
        <v>24</v>
      </c>
      <c r="E218" s="4" t="s">
        <v>58</v>
      </c>
      <c r="F218" s="4" t="s">
        <v>21</v>
      </c>
      <c r="G218" s="4" t="s">
        <v>12</v>
      </c>
      <c r="H218" s="5">
        <v>10488.0</v>
      </c>
      <c r="I218" s="4" t="s">
        <v>42</v>
      </c>
    </row>
    <row r="219">
      <c r="A219" s="4" t="s">
        <v>485</v>
      </c>
      <c r="B219" s="4" t="s">
        <v>98</v>
      </c>
      <c r="C219" s="4" t="s">
        <v>18</v>
      </c>
      <c r="D219" s="4" t="s">
        <v>16</v>
      </c>
      <c r="E219" s="4" t="s">
        <v>20</v>
      </c>
      <c r="F219" s="4" t="s">
        <v>52</v>
      </c>
      <c r="G219" s="4" t="s">
        <v>13</v>
      </c>
      <c r="H219" s="5">
        <v>15754.0</v>
      </c>
      <c r="I219" s="4" t="s">
        <v>47</v>
      </c>
    </row>
    <row r="220">
      <c r="A220" s="4" t="s">
        <v>486</v>
      </c>
      <c r="B220" s="4" t="s">
        <v>400</v>
      </c>
      <c r="C220" s="4" t="s">
        <v>76</v>
      </c>
      <c r="D220" s="4" t="s">
        <v>24</v>
      </c>
      <c r="E220" s="4" t="s">
        <v>46</v>
      </c>
      <c r="F220" s="4" t="s">
        <v>52</v>
      </c>
      <c r="G220" s="4" t="s">
        <v>12</v>
      </c>
      <c r="H220" s="5">
        <v>10842.0</v>
      </c>
      <c r="I220" s="4" t="s">
        <v>37</v>
      </c>
    </row>
    <row r="221">
      <c r="A221" s="4" t="s">
        <v>487</v>
      </c>
      <c r="B221" s="4" t="s">
        <v>488</v>
      </c>
      <c r="C221" s="4" t="s">
        <v>45</v>
      </c>
      <c r="D221" s="4" t="s">
        <v>22</v>
      </c>
      <c r="E221" s="4" t="s">
        <v>46</v>
      </c>
      <c r="F221" s="4" t="s">
        <v>52</v>
      </c>
      <c r="G221" s="4" t="s">
        <v>12</v>
      </c>
      <c r="H221" s="5">
        <v>18395.0</v>
      </c>
      <c r="I221" s="4" t="s">
        <v>42</v>
      </c>
    </row>
    <row r="222">
      <c r="A222" s="4" t="s">
        <v>489</v>
      </c>
      <c r="B222" s="4" t="s">
        <v>122</v>
      </c>
      <c r="C222" s="4" t="s">
        <v>76</v>
      </c>
      <c r="D222" s="4" t="s">
        <v>24</v>
      </c>
      <c r="E222" s="4" t="s">
        <v>20</v>
      </c>
      <c r="F222" s="4" t="s">
        <v>21</v>
      </c>
      <c r="G222" s="4" t="s">
        <v>13</v>
      </c>
      <c r="H222" s="5">
        <v>8485.0</v>
      </c>
      <c r="I222" s="4" t="s">
        <v>47</v>
      </c>
    </row>
    <row r="223">
      <c r="A223" s="4" t="s">
        <v>490</v>
      </c>
      <c r="B223" s="4" t="s">
        <v>491</v>
      </c>
      <c r="C223" s="4" t="s">
        <v>76</v>
      </c>
      <c r="D223" s="4" t="s">
        <v>24</v>
      </c>
      <c r="E223" s="4" t="s">
        <v>46</v>
      </c>
      <c r="F223" s="4" t="s">
        <v>41</v>
      </c>
      <c r="G223" s="4" t="s">
        <v>13</v>
      </c>
      <c r="H223" s="5">
        <v>7634.0</v>
      </c>
      <c r="I223" s="4" t="s">
        <v>37</v>
      </c>
    </row>
    <row r="224">
      <c r="A224" s="4" t="s">
        <v>492</v>
      </c>
      <c r="B224" s="4" t="s">
        <v>493</v>
      </c>
      <c r="C224" s="4" t="s">
        <v>18</v>
      </c>
      <c r="D224" s="4" t="s">
        <v>16</v>
      </c>
      <c r="E224" s="4" t="s">
        <v>20</v>
      </c>
      <c r="F224" s="4" t="s">
        <v>52</v>
      </c>
      <c r="G224" s="4" t="s">
        <v>12</v>
      </c>
      <c r="H224" s="5">
        <v>15619.0</v>
      </c>
      <c r="I224" s="4" t="s">
        <v>42</v>
      </c>
    </row>
    <row r="225">
      <c r="A225" s="4" t="s">
        <v>494</v>
      </c>
      <c r="B225" s="4" t="s">
        <v>413</v>
      </c>
      <c r="C225" s="4" t="s">
        <v>57</v>
      </c>
      <c r="D225" s="4" t="s">
        <v>19</v>
      </c>
      <c r="E225" s="4" t="s">
        <v>20</v>
      </c>
      <c r="F225" s="4" t="s">
        <v>21</v>
      </c>
      <c r="G225" s="4" t="s">
        <v>13</v>
      </c>
      <c r="H225" s="5">
        <v>11664.0</v>
      </c>
      <c r="I225" s="4" t="s">
        <v>23</v>
      </c>
    </row>
    <row r="226">
      <c r="A226" s="4" t="s">
        <v>495</v>
      </c>
      <c r="B226" s="4" t="s">
        <v>368</v>
      </c>
      <c r="C226" s="4" t="s">
        <v>57</v>
      </c>
      <c r="D226" s="4" t="s">
        <v>19</v>
      </c>
      <c r="E226" s="4" t="s">
        <v>20</v>
      </c>
      <c r="F226" s="4" t="s">
        <v>21</v>
      </c>
      <c r="G226" s="4" t="s">
        <v>13</v>
      </c>
      <c r="H226" s="5">
        <v>12682.0</v>
      </c>
      <c r="I226" s="4" t="s">
        <v>47</v>
      </c>
    </row>
    <row r="227">
      <c r="A227" s="4" t="s">
        <v>496</v>
      </c>
      <c r="B227" s="4" t="s">
        <v>497</v>
      </c>
      <c r="C227" s="4" t="s">
        <v>76</v>
      </c>
      <c r="D227" s="4" t="s">
        <v>24</v>
      </c>
      <c r="E227" s="4" t="s">
        <v>20</v>
      </c>
      <c r="F227" s="4" t="s">
        <v>21</v>
      </c>
      <c r="G227" s="4" t="s">
        <v>12</v>
      </c>
      <c r="H227" s="5">
        <v>10210.0</v>
      </c>
      <c r="I227" s="4"/>
    </row>
    <row r="228">
      <c r="A228" s="4" t="s">
        <v>498</v>
      </c>
      <c r="B228" s="4" t="s">
        <v>443</v>
      </c>
      <c r="C228" s="4" t="s">
        <v>45</v>
      </c>
      <c r="D228" s="4" t="s">
        <v>22</v>
      </c>
      <c r="E228" s="4" t="s">
        <v>58</v>
      </c>
      <c r="F228" s="4" t="s">
        <v>41</v>
      </c>
      <c r="G228" s="4" t="s">
        <v>11</v>
      </c>
      <c r="H228" s="5">
        <v>17778.0</v>
      </c>
      <c r="I228" s="4" t="s">
        <v>42</v>
      </c>
    </row>
    <row r="229">
      <c r="A229" s="4" t="s">
        <v>499</v>
      </c>
      <c r="B229" s="4" t="s">
        <v>200</v>
      </c>
      <c r="C229" s="4" t="s">
        <v>45</v>
      </c>
      <c r="D229" s="4" t="s">
        <v>22</v>
      </c>
      <c r="E229" s="4" t="s">
        <v>58</v>
      </c>
      <c r="F229" s="4" t="s">
        <v>52</v>
      </c>
      <c r="G229" s="4" t="s">
        <v>12</v>
      </c>
      <c r="H229" s="5">
        <v>16714.0</v>
      </c>
      <c r="I229" s="4" t="s">
        <v>23</v>
      </c>
    </row>
    <row r="230">
      <c r="A230" s="4" t="s">
        <v>500</v>
      </c>
      <c r="B230" s="4" t="s">
        <v>501</v>
      </c>
      <c r="C230" s="4" t="s">
        <v>57</v>
      </c>
      <c r="D230" s="4" t="s">
        <v>19</v>
      </c>
      <c r="E230" s="4" t="s">
        <v>58</v>
      </c>
      <c r="F230" s="4" t="s">
        <v>41</v>
      </c>
      <c r="G230" s="4" t="s">
        <v>12</v>
      </c>
      <c r="H230" s="5">
        <v>12968.0</v>
      </c>
      <c r="I230" s="4" t="s">
        <v>47</v>
      </c>
    </row>
    <row r="231">
      <c r="A231" s="4" t="s">
        <v>502</v>
      </c>
      <c r="B231" s="4" t="s">
        <v>503</v>
      </c>
      <c r="C231" s="4" t="s">
        <v>18</v>
      </c>
      <c r="D231" s="4" t="s">
        <v>16</v>
      </c>
      <c r="E231" s="4" t="s">
        <v>58</v>
      </c>
      <c r="F231" s="4" t="s">
        <v>41</v>
      </c>
      <c r="G231" s="4" t="s">
        <v>13</v>
      </c>
      <c r="H231" s="5">
        <v>13117.0</v>
      </c>
      <c r="I231" s="4"/>
    </row>
    <row r="232">
      <c r="A232" s="4" t="s">
        <v>504</v>
      </c>
      <c r="B232" s="4" t="s">
        <v>105</v>
      </c>
      <c r="C232" s="4" t="s">
        <v>76</v>
      </c>
      <c r="D232" s="4" t="s">
        <v>24</v>
      </c>
      <c r="E232" s="4" t="s">
        <v>46</v>
      </c>
      <c r="F232" s="4" t="s">
        <v>41</v>
      </c>
      <c r="G232" s="4" t="s">
        <v>11</v>
      </c>
      <c r="H232" s="5">
        <v>10623.0</v>
      </c>
      <c r="I232" s="4" t="s">
        <v>47</v>
      </c>
    </row>
    <row r="233">
      <c r="A233" s="4" t="s">
        <v>505</v>
      </c>
      <c r="B233" s="4" t="s">
        <v>506</v>
      </c>
      <c r="C233" s="4" t="s">
        <v>18</v>
      </c>
      <c r="D233" s="4" t="s">
        <v>16</v>
      </c>
      <c r="E233" s="4" t="s">
        <v>58</v>
      </c>
      <c r="F233" s="4" t="s">
        <v>52</v>
      </c>
      <c r="G233" s="4" t="s">
        <v>11</v>
      </c>
      <c r="H233" s="5">
        <v>12965.0</v>
      </c>
      <c r="I233" s="4"/>
    </row>
    <row r="234">
      <c r="A234" s="4" t="s">
        <v>507</v>
      </c>
      <c r="B234" s="4" t="s">
        <v>508</v>
      </c>
      <c r="C234" s="4" t="s">
        <v>18</v>
      </c>
      <c r="D234" s="4" t="s">
        <v>16</v>
      </c>
      <c r="E234" s="4" t="s">
        <v>58</v>
      </c>
      <c r="F234" s="4" t="s">
        <v>41</v>
      </c>
      <c r="G234" s="4" t="s">
        <v>12</v>
      </c>
      <c r="H234" s="5">
        <v>14662.0</v>
      </c>
      <c r="I234" s="4" t="s">
        <v>47</v>
      </c>
    </row>
    <row r="235">
      <c r="A235" s="4" t="s">
        <v>509</v>
      </c>
      <c r="B235" s="4" t="s">
        <v>223</v>
      </c>
      <c r="C235" s="4" t="s">
        <v>18</v>
      </c>
      <c r="D235" s="4" t="s">
        <v>16</v>
      </c>
      <c r="E235" s="4" t="s">
        <v>58</v>
      </c>
      <c r="F235" s="4" t="s">
        <v>21</v>
      </c>
      <c r="G235" s="4" t="s">
        <v>12</v>
      </c>
      <c r="H235" s="5">
        <v>15404.0</v>
      </c>
      <c r="I235" s="4" t="s">
        <v>23</v>
      </c>
    </row>
    <row r="236">
      <c r="A236" s="4" t="s">
        <v>510</v>
      </c>
      <c r="B236" s="4" t="s">
        <v>431</v>
      </c>
      <c r="C236" s="4" t="s">
        <v>76</v>
      </c>
      <c r="D236" s="4" t="s">
        <v>24</v>
      </c>
      <c r="E236" s="4" t="s">
        <v>20</v>
      </c>
      <c r="F236" s="4" t="s">
        <v>41</v>
      </c>
      <c r="G236" s="4" t="s">
        <v>13</v>
      </c>
      <c r="H236" s="5">
        <v>7077.0</v>
      </c>
      <c r="I236" s="4" t="s">
        <v>47</v>
      </c>
    </row>
    <row r="237">
      <c r="A237" s="4" t="s">
        <v>511</v>
      </c>
      <c r="B237" s="4" t="s">
        <v>512</v>
      </c>
      <c r="C237" s="4" t="s">
        <v>76</v>
      </c>
      <c r="D237" s="4" t="s">
        <v>24</v>
      </c>
      <c r="E237" s="4" t="s">
        <v>46</v>
      </c>
      <c r="F237" s="4" t="s">
        <v>21</v>
      </c>
      <c r="G237" s="4" t="s">
        <v>13</v>
      </c>
      <c r="H237" s="5">
        <v>8233.0</v>
      </c>
      <c r="I237" s="4" t="s">
        <v>37</v>
      </c>
    </row>
    <row r="238">
      <c r="A238" s="4" t="s">
        <v>513</v>
      </c>
      <c r="B238" s="4" t="s">
        <v>514</v>
      </c>
      <c r="C238" s="4" t="s">
        <v>76</v>
      </c>
      <c r="D238" s="4" t="s">
        <v>24</v>
      </c>
      <c r="E238" s="4" t="s">
        <v>46</v>
      </c>
      <c r="F238" s="4" t="s">
        <v>41</v>
      </c>
      <c r="G238" s="4" t="s">
        <v>11</v>
      </c>
      <c r="H238" s="5">
        <v>9444.0</v>
      </c>
      <c r="I238" s="4" t="s">
        <v>42</v>
      </c>
    </row>
    <row r="239">
      <c r="A239" s="4" t="s">
        <v>515</v>
      </c>
      <c r="B239" s="4" t="s">
        <v>516</v>
      </c>
      <c r="C239" s="4" t="s">
        <v>57</v>
      </c>
      <c r="D239" s="4" t="s">
        <v>19</v>
      </c>
      <c r="E239" s="4" t="s">
        <v>20</v>
      </c>
      <c r="F239" s="4" t="s">
        <v>41</v>
      </c>
      <c r="G239" s="4" t="s">
        <v>11</v>
      </c>
      <c r="H239" s="5">
        <v>12758.0</v>
      </c>
      <c r="I239" s="4" t="s">
        <v>37</v>
      </c>
    </row>
    <row r="240">
      <c r="A240" s="4" t="s">
        <v>517</v>
      </c>
      <c r="B240" s="4" t="s">
        <v>508</v>
      </c>
      <c r="C240" s="4" t="s">
        <v>76</v>
      </c>
      <c r="D240" s="4" t="s">
        <v>24</v>
      </c>
      <c r="E240" s="4" t="s">
        <v>46</v>
      </c>
      <c r="F240" s="4" t="s">
        <v>52</v>
      </c>
      <c r="G240" s="4" t="s">
        <v>12</v>
      </c>
      <c r="H240" s="5">
        <v>7350.0</v>
      </c>
      <c r="I240" s="4" t="s">
        <v>42</v>
      </c>
    </row>
    <row r="241">
      <c r="A241" s="4" t="s">
        <v>518</v>
      </c>
      <c r="B241" s="4" t="s">
        <v>300</v>
      </c>
      <c r="C241" s="4" t="s">
        <v>18</v>
      </c>
      <c r="D241" s="4" t="s">
        <v>16</v>
      </c>
      <c r="E241" s="4" t="s">
        <v>58</v>
      </c>
      <c r="F241" s="4" t="s">
        <v>21</v>
      </c>
      <c r="G241" s="4" t="s">
        <v>13</v>
      </c>
      <c r="H241" s="5">
        <v>14603.0</v>
      </c>
      <c r="I241" s="4"/>
    </row>
    <row r="242">
      <c r="A242" s="4" t="s">
        <v>519</v>
      </c>
      <c r="B242" s="4" t="s">
        <v>448</v>
      </c>
      <c r="C242" s="4" t="s">
        <v>18</v>
      </c>
      <c r="D242" s="4" t="s">
        <v>16</v>
      </c>
      <c r="E242" s="4" t="s">
        <v>58</v>
      </c>
      <c r="F242" s="4" t="s">
        <v>41</v>
      </c>
      <c r="G242" s="4" t="s">
        <v>11</v>
      </c>
      <c r="H242" s="5">
        <v>12987.0</v>
      </c>
      <c r="I242" s="4" t="s">
        <v>37</v>
      </c>
    </row>
    <row r="243">
      <c r="A243" s="4" t="s">
        <v>520</v>
      </c>
      <c r="B243" s="4" t="s">
        <v>292</v>
      </c>
      <c r="C243" s="4" t="s">
        <v>45</v>
      </c>
      <c r="D243" s="4" t="s">
        <v>22</v>
      </c>
      <c r="E243" s="4" t="s">
        <v>46</v>
      </c>
      <c r="F243" s="4" t="s">
        <v>41</v>
      </c>
      <c r="G243" s="4" t="s">
        <v>11</v>
      </c>
      <c r="H243" s="5">
        <v>17236.0</v>
      </c>
      <c r="I243" s="4" t="s">
        <v>47</v>
      </c>
    </row>
    <row r="244">
      <c r="A244" s="4" t="s">
        <v>521</v>
      </c>
      <c r="B244" s="4" t="s">
        <v>522</v>
      </c>
      <c r="C244" s="4" t="s">
        <v>76</v>
      </c>
      <c r="D244" s="4" t="s">
        <v>24</v>
      </c>
      <c r="E244" s="4" t="s">
        <v>20</v>
      </c>
      <c r="F244" s="4" t="s">
        <v>21</v>
      </c>
      <c r="G244" s="4" t="s">
        <v>12</v>
      </c>
      <c r="H244" s="5">
        <v>7746.0</v>
      </c>
      <c r="I244" s="4" t="s">
        <v>23</v>
      </c>
    </row>
    <row r="245">
      <c r="A245" s="4" t="s">
        <v>523</v>
      </c>
      <c r="B245" s="4" t="s">
        <v>368</v>
      </c>
      <c r="C245" s="4" t="s">
        <v>76</v>
      </c>
      <c r="D245" s="4" t="s">
        <v>24</v>
      </c>
      <c r="E245" s="4" t="s">
        <v>46</v>
      </c>
      <c r="F245" s="4" t="s">
        <v>21</v>
      </c>
      <c r="G245" s="4" t="s">
        <v>13</v>
      </c>
      <c r="H245" s="5">
        <v>7179.0</v>
      </c>
      <c r="I245" s="4" t="s">
        <v>23</v>
      </c>
    </row>
    <row r="246">
      <c r="A246" s="4" t="s">
        <v>524</v>
      </c>
      <c r="B246" s="4" t="s">
        <v>163</v>
      </c>
      <c r="C246" s="4" t="s">
        <v>45</v>
      </c>
      <c r="D246" s="4" t="s">
        <v>22</v>
      </c>
      <c r="E246" s="4" t="s">
        <v>20</v>
      </c>
      <c r="F246" s="4" t="s">
        <v>21</v>
      </c>
      <c r="G246" s="4" t="s">
        <v>12</v>
      </c>
      <c r="H246" s="5">
        <v>16939.0</v>
      </c>
      <c r="I246" s="4" t="s">
        <v>47</v>
      </c>
    </row>
    <row r="247">
      <c r="A247" s="4" t="s">
        <v>525</v>
      </c>
      <c r="B247" s="4" t="s">
        <v>526</v>
      </c>
      <c r="C247" s="4" t="s">
        <v>57</v>
      </c>
      <c r="D247" s="4" t="s">
        <v>19</v>
      </c>
      <c r="E247" s="4" t="s">
        <v>58</v>
      </c>
      <c r="F247" s="4" t="s">
        <v>21</v>
      </c>
      <c r="G247" s="4" t="s">
        <v>13</v>
      </c>
      <c r="H247" s="5">
        <v>14546.0</v>
      </c>
      <c r="I247" s="4" t="s">
        <v>47</v>
      </c>
    </row>
    <row r="248">
      <c r="A248" s="4" t="s">
        <v>527</v>
      </c>
      <c r="B248" s="4" t="s">
        <v>253</v>
      </c>
      <c r="C248" s="4" t="s">
        <v>45</v>
      </c>
      <c r="D248" s="4" t="s">
        <v>22</v>
      </c>
      <c r="E248" s="4" t="s">
        <v>58</v>
      </c>
      <c r="F248" s="4" t="s">
        <v>21</v>
      </c>
      <c r="G248" s="4" t="s">
        <v>12</v>
      </c>
      <c r="H248" s="5">
        <v>16801.0</v>
      </c>
      <c r="I248" s="4"/>
    </row>
    <row r="249">
      <c r="A249" s="4" t="s">
        <v>528</v>
      </c>
      <c r="B249" s="4" t="s">
        <v>529</v>
      </c>
      <c r="C249" s="4" t="s">
        <v>76</v>
      </c>
      <c r="D249" s="4" t="s">
        <v>24</v>
      </c>
      <c r="E249" s="4" t="s">
        <v>58</v>
      </c>
      <c r="F249" s="4" t="s">
        <v>52</v>
      </c>
      <c r="G249" s="4" t="s">
        <v>11</v>
      </c>
      <c r="H249" s="5">
        <v>10281.0</v>
      </c>
      <c r="I249" s="4" t="s">
        <v>37</v>
      </c>
    </row>
    <row r="250">
      <c r="A250" s="4" t="s">
        <v>530</v>
      </c>
      <c r="B250" s="4" t="s">
        <v>54</v>
      </c>
      <c r="C250" s="4" t="s">
        <v>76</v>
      </c>
      <c r="D250" s="4" t="s">
        <v>24</v>
      </c>
      <c r="E250" s="4" t="s">
        <v>20</v>
      </c>
      <c r="F250" s="4" t="s">
        <v>41</v>
      </c>
      <c r="G250" s="4" t="s">
        <v>12</v>
      </c>
      <c r="H250" s="5">
        <v>8203.0</v>
      </c>
      <c r="I250" s="4" t="s">
        <v>47</v>
      </c>
    </row>
    <row r="251">
      <c r="A251" s="4" t="s">
        <v>531</v>
      </c>
      <c r="B251" s="4" t="s">
        <v>532</v>
      </c>
      <c r="C251" s="4" t="s">
        <v>45</v>
      </c>
      <c r="D251" s="4" t="s">
        <v>22</v>
      </c>
      <c r="E251" s="4" t="s">
        <v>58</v>
      </c>
      <c r="F251" s="4" t="s">
        <v>21</v>
      </c>
      <c r="G251" s="4" t="s">
        <v>12</v>
      </c>
      <c r="H251" s="5">
        <v>17939.0</v>
      </c>
      <c r="I251" s="4"/>
    </row>
    <row r="252">
      <c r="A252" s="4" t="s">
        <v>533</v>
      </c>
      <c r="B252" s="4" t="s">
        <v>431</v>
      </c>
      <c r="C252" s="4" t="s">
        <v>45</v>
      </c>
      <c r="D252" s="4" t="s">
        <v>22</v>
      </c>
      <c r="E252" s="4" t="s">
        <v>58</v>
      </c>
      <c r="F252" s="4" t="s">
        <v>41</v>
      </c>
      <c r="G252" s="4" t="s">
        <v>12</v>
      </c>
      <c r="H252" s="5">
        <v>18563.0</v>
      </c>
      <c r="I252" s="4" t="s">
        <v>47</v>
      </c>
    </row>
    <row r="253">
      <c r="A253" s="4" t="s">
        <v>534</v>
      </c>
      <c r="B253" s="4" t="s">
        <v>535</v>
      </c>
      <c r="C253" s="4" t="s">
        <v>18</v>
      </c>
      <c r="D253" s="4" t="s">
        <v>16</v>
      </c>
      <c r="E253" s="4" t="s">
        <v>46</v>
      </c>
      <c r="F253" s="4" t="s">
        <v>52</v>
      </c>
      <c r="G253" s="4" t="s">
        <v>12</v>
      </c>
      <c r="H253" s="5">
        <v>13663.0</v>
      </c>
      <c r="I253" s="4" t="s">
        <v>47</v>
      </c>
    </row>
    <row r="254">
      <c r="A254" s="4" t="s">
        <v>536</v>
      </c>
      <c r="B254" s="4" t="s">
        <v>390</v>
      </c>
      <c r="C254" s="4" t="s">
        <v>57</v>
      </c>
      <c r="D254" s="4" t="s">
        <v>19</v>
      </c>
      <c r="E254" s="4" t="s">
        <v>46</v>
      </c>
      <c r="F254" s="4" t="s">
        <v>41</v>
      </c>
      <c r="G254" s="4" t="s">
        <v>12</v>
      </c>
      <c r="H254" s="5">
        <v>13777.0</v>
      </c>
      <c r="I254" s="4"/>
    </row>
    <row r="255">
      <c r="A255" s="4" t="s">
        <v>537</v>
      </c>
      <c r="B255" s="4" t="s">
        <v>421</v>
      </c>
      <c r="C255" s="4" t="s">
        <v>57</v>
      </c>
      <c r="D255" s="4" t="s">
        <v>19</v>
      </c>
      <c r="E255" s="4" t="s">
        <v>20</v>
      </c>
      <c r="F255" s="4" t="s">
        <v>21</v>
      </c>
      <c r="G255" s="4" t="s">
        <v>11</v>
      </c>
      <c r="H255" s="5">
        <v>12568.0</v>
      </c>
      <c r="I255" s="4" t="s">
        <v>42</v>
      </c>
    </row>
    <row r="256">
      <c r="A256" s="4" t="s">
        <v>538</v>
      </c>
      <c r="B256" s="4" t="s">
        <v>473</v>
      </c>
      <c r="C256" s="4" t="s">
        <v>76</v>
      </c>
      <c r="D256" s="4" t="s">
        <v>24</v>
      </c>
      <c r="E256" s="4" t="s">
        <v>58</v>
      </c>
      <c r="F256" s="4" t="s">
        <v>21</v>
      </c>
      <c r="G256" s="4" t="s">
        <v>11</v>
      </c>
      <c r="H256" s="5">
        <v>10125.0</v>
      </c>
      <c r="I256" s="4" t="s">
        <v>37</v>
      </c>
    </row>
    <row r="257">
      <c r="A257" s="4" t="s">
        <v>539</v>
      </c>
      <c r="B257" s="4" t="s">
        <v>540</v>
      </c>
      <c r="C257" s="4" t="s">
        <v>45</v>
      </c>
      <c r="D257" s="4" t="s">
        <v>22</v>
      </c>
      <c r="E257" s="4" t="s">
        <v>58</v>
      </c>
      <c r="F257" s="4" t="s">
        <v>21</v>
      </c>
      <c r="G257" s="4" t="s">
        <v>12</v>
      </c>
      <c r="H257" s="5">
        <v>16141.0</v>
      </c>
      <c r="I257" s="4" t="s">
        <v>23</v>
      </c>
    </row>
    <row r="258">
      <c r="A258" s="4" t="s">
        <v>541</v>
      </c>
      <c r="B258" s="4" t="s">
        <v>242</v>
      </c>
      <c r="C258" s="4" t="s">
        <v>57</v>
      </c>
      <c r="D258" s="4" t="s">
        <v>19</v>
      </c>
      <c r="E258" s="4" t="s">
        <v>58</v>
      </c>
      <c r="F258" s="4" t="s">
        <v>52</v>
      </c>
      <c r="G258" s="4" t="s">
        <v>11</v>
      </c>
      <c r="H258" s="5">
        <v>14741.0</v>
      </c>
      <c r="I258" s="4" t="s">
        <v>42</v>
      </c>
    </row>
    <row r="259">
      <c r="A259" s="4" t="s">
        <v>542</v>
      </c>
      <c r="B259" s="4" t="s">
        <v>543</v>
      </c>
      <c r="C259" s="4" t="s">
        <v>45</v>
      </c>
      <c r="D259" s="4" t="s">
        <v>22</v>
      </c>
      <c r="E259" s="4" t="s">
        <v>20</v>
      </c>
      <c r="F259" s="4" t="s">
        <v>21</v>
      </c>
      <c r="G259" s="4" t="s">
        <v>13</v>
      </c>
      <c r="H259" s="5">
        <v>17506.0</v>
      </c>
      <c r="I259" s="4" t="s">
        <v>47</v>
      </c>
    </row>
    <row r="260">
      <c r="A260" s="4" t="s">
        <v>544</v>
      </c>
      <c r="B260" s="4" t="s">
        <v>545</v>
      </c>
      <c r="C260" s="4" t="s">
        <v>57</v>
      </c>
      <c r="D260" s="4" t="s">
        <v>19</v>
      </c>
      <c r="E260" s="4" t="s">
        <v>46</v>
      </c>
      <c r="F260" s="4" t="s">
        <v>41</v>
      </c>
      <c r="G260" s="4" t="s">
        <v>13</v>
      </c>
      <c r="H260" s="5">
        <v>12851.0</v>
      </c>
      <c r="I260" s="4" t="s">
        <v>23</v>
      </c>
    </row>
    <row r="261">
      <c r="A261" s="4" t="s">
        <v>546</v>
      </c>
      <c r="B261" s="4" t="s">
        <v>431</v>
      </c>
      <c r="C261" s="4" t="s">
        <v>18</v>
      </c>
      <c r="D261" s="4" t="s">
        <v>16</v>
      </c>
      <c r="E261" s="4" t="s">
        <v>20</v>
      </c>
      <c r="F261" s="4" t="s">
        <v>21</v>
      </c>
      <c r="G261" s="4" t="s">
        <v>12</v>
      </c>
      <c r="H261" s="5">
        <v>13423.0</v>
      </c>
      <c r="I261" s="4" t="s">
        <v>37</v>
      </c>
    </row>
    <row r="262">
      <c r="A262" s="4" t="s">
        <v>547</v>
      </c>
      <c r="B262" s="4" t="s">
        <v>548</v>
      </c>
      <c r="C262" s="4" t="s">
        <v>45</v>
      </c>
      <c r="D262" s="4" t="s">
        <v>22</v>
      </c>
      <c r="E262" s="4" t="s">
        <v>46</v>
      </c>
      <c r="F262" s="4" t="s">
        <v>52</v>
      </c>
      <c r="G262" s="4" t="s">
        <v>12</v>
      </c>
      <c r="H262" s="5">
        <v>18798.0</v>
      </c>
      <c r="I262" s="4" t="s">
        <v>23</v>
      </c>
    </row>
    <row r="263">
      <c r="A263" s="4" t="s">
        <v>549</v>
      </c>
      <c r="B263" s="4" t="s">
        <v>396</v>
      </c>
      <c r="C263" s="4" t="s">
        <v>57</v>
      </c>
      <c r="D263" s="4" t="s">
        <v>19</v>
      </c>
      <c r="E263" s="4" t="s">
        <v>46</v>
      </c>
      <c r="F263" s="4" t="s">
        <v>41</v>
      </c>
      <c r="G263" s="4" t="s">
        <v>13</v>
      </c>
      <c r="H263" s="5">
        <v>11969.0</v>
      </c>
      <c r="I263" s="4"/>
    </row>
    <row r="264">
      <c r="A264" s="4" t="s">
        <v>550</v>
      </c>
      <c r="B264" s="4" t="s">
        <v>396</v>
      </c>
      <c r="C264" s="4" t="s">
        <v>45</v>
      </c>
      <c r="D264" s="4" t="s">
        <v>22</v>
      </c>
      <c r="E264" s="4" t="s">
        <v>58</v>
      </c>
      <c r="F264" s="4" t="s">
        <v>52</v>
      </c>
      <c r="G264" s="4" t="s">
        <v>13</v>
      </c>
      <c r="H264" s="5">
        <v>17506.0</v>
      </c>
      <c r="I264" s="4" t="s">
        <v>37</v>
      </c>
    </row>
    <row r="265">
      <c r="A265" s="4" t="s">
        <v>551</v>
      </c>
      <c r="B265" s="4" t="s">
        <v>89</v>
      </c>
      <c r="C265" s="4" t="s">
        <v>76</v>
      </c>
      <c r="D265" s="4" t="s">
        <v>24</v>
      </c>
      <c r="E265" s="4" t="s">
        <v>20</v>
      </c>
      <c r="F265" s="4" t="s">
        <v>21</v>
      </c>
      <c r="G265" s="4" t="s">
        <v>11</v>
      </c>
      <c r="H265" s="5">
        <v>10372.0</v>
      </c>
      <c r="I265" s="4" t="s">
        <v>42</v>
      </c>
    </row>
    <row r="266">
      <c r="A266" s="4" t="s">
        <v>552</v>
      </c>
      <c r="B266" s="4" t="s">
        <v>98</v>
      </c>
      <c r="C266" s="4" t="s">
        <v>18</v>
      </c>
      <c r="D266" s="4" t="s">
        <v>16</v>
      </c>
      <c r="E266" s="4" t="s">
        <v>58</v>
      </c>
      <c r="F266" s="4" t="s">
        <v>21</v>
      </c>
      <c r="G266" s="4" t="s">
        <v>12</v>
      </c>
      <c r="H266" s="5">
        <v>14119.0</v>
      </c>
      <c r="I266" s="4" t="s">
        <v>47</v>
      </c>
    </row>
    <row r="267">
      <c r="A267" s="4" t="s">
        <v>553</v>
      </c>
      <c r="B267" s="4" t="s">
        <v>554</v>
      </c>
      <c r="C267" s="4" t="s">
        <v>57</v>
      </c>
      <c r="D267" s="4" t="s">
        <v>19</v>
      </c>
      <c r="E267" s="4" t="s">
        <v>46</v>
      </c>
      <c r="F267" s="4" t="s">
        <v>21</v>
      </c>
      <c r="G267" s="4" t="s">
        <v>12</v>
      </c>
      <c r="H267" s="5">
        <v>14730.0</v>
      </c>
      <c r="I267" s="4" t="s">
        <v>37</v>
      </c>
    </row>
    <row r="268">
      <c r="A268" s="4" t="s">
        <v>555</v>
      </c>
      <c r="B268" s="4" t="s">
        <v>300</v>
      </c>
      <c r="C268" s="4" t="s">
        <v>57</v>
      </c>
      <c r="D268" s="4" t="s">
        <v>19</v>
      </c>
      <c r="E268" s="4" t="s">
        <v>58</v>
      </c>
      <c r="F268" s="4" t="s">
        <v>41</v>
      </c>
      <c r="G268" s="4" t="s">
        <v>13</v>
      </c>
      <c r="H268" s="5">
        <v>12321.0</v>
      </c>
      <c r="I268" s="4" t="s">
        <v>23</v>
      </c>
    </row>
    <row r="269">
      <c r="A269" s="4" t="s">
        <v>556</v>
      </c>
      <c r="B269" s="4" t="s">
        <v>548</v>
      </c>
      <c r="C269" s="4" t="s">
        <v>18</v>
      </c>
      <c r="D269" s="4" t="s">
        <v>16</v>
      </c>
      <c r="E269" s="4" t="s">
        <v>58</v>
      </c>
      <c r="F269" s="4" t="s">
        <v>41</v>
      </c>
      <c r="G269" s="4" t="s">
        <v>12</v>
      </c>
      <c r="H269" s="5">
        <v>15917.0</v>
      </c>
      <c r="I269" s="4" t="s">
        <v>42</v>
      </c>
    </row>
    <row r="270">
      <c r="A270" s="4" t="s">
        <v>557</v>
      </c>
      <c r="B270" s="4" t="s">
        <v>148</v>
      </c>
      <c r="C270" s="4" t="s">
        <v>45</v>
      </c>
      <c r="D270" s="4" t="s">
        <v>22</v>
      </c>
      <c r="E270" s="4" t="s">
        <v>20</v>
      </c>
      <c r="F270" s="4" t="s">
        <v>52</v>
      </c>
      <c r="G270" s="4" t="s">
        <v>13</v>
      </c>
      <c r="H270" s="5">
        <v>17058.0</v>
      </c>
      <c r="I270" s="4" t="s">
        <v>23</v>
      </c>
    </row>
    <row r="271">
      <c r="A271" s="4" t="s">
        <v>558</v>
      </c>
      <c r="B271" s="4" t="s">
        <v>473</v>
      </c>
      <c r="C271" s="4" t="s">
        <v>57</v>
      </c>
      <c r="D271" s="4" t="s">
        <v>19</v>
      </c>
      <c r="E271" s="4" t="s">
        <v>20</v>
      </c>
      <c r="F271" s="4" t="s">
        <v>52</v>
      </c>
      <c r="G271" s="4" t="s">
        <v>12</v>
      </c>
      <c r="H271" s="5">
        <v>14694.0</v>
      </c>
      <c r="I271" s="4" t="s">
        <v>42</v>
      </c>
    </row>
    <row r="272">
      <c r="A272" s="4" t="s">
        <v>559</v>
      </c>
      <c r="B272" s="4" t="s">
        <v>560</v>
      </c>
      <c r="C272" s="4" t="s">
        <v>18</v>
      </c>
      <c r="D272" s="4" t="s">
        <v>16</v>
      </c>
      <c r="E272" s="4" t="s">
        <v>46</v>
      </c>
      <c r="F272" s="4" t="s">
        <v>41</v>
      </c>
      <c r="G272" s="4" t="s">
        <v>13</v>
      </c>
      <c r="H272" s="5">
        <v>15885.0</v>
      </c>
      <c r="I272" s="4" t="s">
        <v>42</v>
      </c>
    </row>
    <row r="273">
      <c r="A273" s="4" t="s">
        <v>561</v>
      </c>
      <c r="B273" s="4" t="s">
        <v>298</v>
      </c>
      <c r="C273" s="4" t="s">
        <v>76</v>
      </c>
      <c r="D273" s="4" t="s">
        <v>24</v>
      </c>
      <c r="E273" s="4" t="s">
        <v>20</v>
      </c>
      <c r="F273" s="4" t="s">
        <v>52</v>
      </c>
      <c r="G273" s="4" t="s">
        <v>13</v>
      </c>
      <c r="H273" s="5">
        <v>9039.0</v>
      </c>
      <c r="I273" s="4" t="s">
        <v>42</v>
      </c>
    </row>
    <row r="274">
      <c r="A274" s="4" t="s">
        <v>562</v>
      </c>
      <c r="B274" s="4" t="s">
        <v>370</v>
      </c>
      <c r="C274" s="4" t="s">
        <v>76</v>
      </c>
      <c r="D274" s="4" t="s">
        <v>24</v>
      </c>
      <c r="E274" s="4" t="s">
        <v>46</v>
      </c>
      <c r="F274" s="4" t="s">
        <v>52</v>
      </c>
      <c r="G274" s="4" t="s">
        <v>11</v>
      </c>
      <c r="H274" s="5">
        <v>8218.0</v>
      </c>
      <c r="I274" s="4"/>
    </row>
    <row r="275">
      <c r="A275" s="4" t="s">
        <v>563</v>
      </c>
      <c r="B275" s="4" t="s">
        <v>564</v>
      </c>
      <c r="C275" s="4" t="s">
        <v>57</v>
      </c>
      <c r="D275" s="4" t="s">
        <v>19</v>
      </c>
      <c r="E275" s="4" t="s">
        <v>58</v>
      </c>
      <c r="F275" s="4" t="s">
        <v>21</v>
      </c>
      <c r="G275" s="4" t="s">
        <v>11</v>
      </c>
      <c r="H275" s="5">
        <v>12902.0</v>
      </c>
      <c r="I275" s="4" t="s">
        <v>23</v>
      </c>
    </row>
    <row r="276">
      <c r="A276" s="4" t="s">
        <v>565</v>
      </c>
      <c r="B276" s="4" t="s">
        <v>473</v>
      </c>
      <c r="C276" s="4" t="s">
        <v>45</v>
      </c>
      <c r="D276" s="4" t="s">
        <v>22</v>
      </c>
      <c r="E276" s="4" t="s">
        <v>20</v>
      </c>
      <c r="F276" s="4" t="s">
        <v>21</v>
      </c>
      <c r="G276" s="4" t="s">
        <v>12</v>
      </c>
      <c r="H276" s="5">
        <v>18525.0</v>
      </c>
      <c r="I276" s="4" t="s">
        <v>47</v>
      </c>
    </row>
    <row r="277">
      <c r="A277" s="4" t="s">
        <v>566</v>
      </c>
      <c r="B277" s="4" t="s">
        <v>174</v>
      </c>
      <c r="C277" s="4" t="s">
        <v>45</v>
      </c>
      <c r="D277" s="4" t="s">
        <v>22</v>
      </c>
      <c r="E277" s="4" t="s">
        <v>20</v>
      </c>
      <c r="F277" s="4" t="s">
        <v>52</v>
      </c>
      <c r="G277" s="4" t="s">
        <v>13</v>
      </c>
      <c r="H277" s="5">
        <v>16307.0</v>
      </c>
      <c r="I277" s="4" t="s">
        <v>23</v>
      </c>
    </row>
    <row r="278">
      <c r="A278" s="4" t="s">
        <v>567</v>
      </c>
      <c r="B278" s="4" t="s">
        <v>351</v>
      </c>
      <c r="C278" s="4" t="s">
        <v>76</v>
      </c>
      <c r="D278" s="4" t="s">
        <v>24</v>
      </c>
      <c r="E278" s="4" t="s">
        <v>46</v>
      </c>
      <c r="F278" s="4" t="s">
        <v>41</v>
      </c>
      <c r="G278" s="4" t="s">
        <v>13</v>
      </c>
      <c r="H278" s="5">
        <v>7207.0</v>
      </c>
      <c r="I278" s="4" t="s">
        <v>47</v>
      </c>
    </row>
    <row r="279">
      <c r="A279" s="4" t="s">
        <v>568</v>
      </c>
      <c r="B279" s="4" t="s">
        <v>405</v>
      </c>
      <c r="C279" s="4" t="s">
        <v>76</v>
      </c>
      <c r="D279" s="4" t="s">
        <v>24</v>
      </c>
      <c r="E279" s="4" t="s">
        <v>46</v>
      </c>
      <c r="F279" s="4" t="s">
        <v>41</v>
      </c>
      <c r="G279" s="4" t="s">
        <v>11</v>
      </c>
      <c r="H279" s="5">
        <v>10824.0</v>
      </c>
      <c r="I279" s="4" t="s">
        <v>42</v>
      </c>
    </row>
    <row r="280">
      <c r="A280" s="4" t="s">
        <v>569</v>
      </c>
      <c r="B280" s="4" t="s">
        <v>508</v>
      </c>
      <c r="C280" s="4" t="s">
        <v>57</v>
      </c>
      <c r="D280" s="4" t="s">
        <v>19</v>
      </c>
      <c r="E280" s="4" t="s">
        <v>58</v>
      </c>
      <c r="F280" s="4" t="s">
        <v>52</v>
      </c>
      <c r="G280" s="4" t="s">
        <v>11</v>
      </c>
      <c r="H280" s="5">
        <v>13042.0</v>
      </c>
      <c r="I280" s="4" t="s">
        <v>47</v>
      </c>
    </row>
    <row r="281">
      <c r="A281" s="4" t="s">
        <v>570</v>
      </c>
      <c r="B281" s="4" t="s">
        <v>100</v>
      </c>
      <c r="C281" s="4" t="s">
        <v>76</v>
      </c>
      <c r="D281" s="4" t="s">
        <v>24</v>
      </c>
      <c r="E281" s="4" t="s">
        <v>20</v>
      </c>
      <c r="F281" s="4" t="s">
        <v>21</v>
      </c>
      <c r="G281" s="4" t="s">
        <v>13</v>
      </c>
      <c r="H281" s="5">
        <v>7881.0</v>
      </c>
      <c r="I281" s="4" t="s">
        <v>42</v>
      </c>
    </row>
    <row r="282">
      <c r="A282" s="4" t="s">
        <v>571</v>
      </c>
      <c r="B282" s="4" t="s">
        <v>205</v>
      </c>
      <c r="C282" s="4" t="s">
        <v>45</v>
      </c>
      <c r="D282" s="4" t="s">
        <v>22</v>
      </c>
      <c r="E282" s="4" t="s">
        <v>58</v>
      </c>
      <c r="F282" s="4" t="s">
        <v>52</v>
      </c>
      <c r="G282" s="4" t="s">
        <v>12</v>
      </c>
      <c r="H282" s="5">
        <v>17754.0</v>
      </c>
      <c r="I282" s="4"/>
    </row>
    <row r="283">
      <c r="A283" s="4" t="s">
        <v>572</v>
      </c>
      <c r="B283" s="4" t="s">
        <v>233</v>
      </c>
      <c r="C283" s="4" t="s">
        <v>18</v>
      </c>
      <c r="D283" s="4" t="s">
        <v>16</v>
      </c>
      <c r="E283" s="4" t="s">
        <v>58</v>
      </c>
      <c r="F283" s="4" t="s">
        <v>41</v>
      </c>
      <c r="G283" s="4" t="s">
        <v>11</v>
      </c>
      <c r="H283" s="5">
        <v>14979.0</v>
      </c>
      <c r="I283" s="4" t="s">
        <v>47</v>
      </c>
    </row>
    <row r="284">
      <c r="A284" s="4" t="s">
        <v>573</v>
      </c>
      <c r="B284" s="4" t="s">
        <v>574</v>
      </c>
      <c r="C284" s="4" t="s">
        <v>18</v>
      </c>
      <c r="D284" s="4" t="s">
        <v>16</v>
      </c>
      <c r="E284" s="4" t="s">
        <v>58</v>
      </c>
      <c r="F284" s="4" t="s">
        <v>41</v>
      </c>
      <c r="G284" s="4" t="s">
        <v>12</v>
      </c>
      <c r="H284" s="5">
        <v>14301.0</v>
      </c>
      <c r="I284" s="4" t="s">
        <v>23</v>
      </c>
    </row>
    <row r="285">
      <c r="A285" s="4" t="s">
        <v>575</v>
      </c>
      <c r="B285" s="4" t="s">
        <v>548</v>
      </c>
      <c r="C285" s="4" t="s">
        <v>18</v>
      </c>
      <c r="D285" s="4" t="s">
        <v>16</v>
      </c>
      <c r="E285" s="4" t="s">
        <v>58</v>
      </c>
      <c r="F285" s="4" t="s">
        <v>52</v>
      </c>
      <c r="G285" s="4" t="s">
        <v>11</v>
      </c>
      <c r="H285" s="5">
        <v>15130.0</v>
      </c>
      <c r="I285" s="4" t="s">
        <v>42</v>
      </c>
    </row>
    <row r="286">
      <c r="A286" s="4" t="s">
        <v>576</v>
      </c>
      <c r="B286" s="4" t="s">
        <v>560</v>
      </c>
      <c r="C286" s="4" t="s">
        <v>18</v>
      </c>
      <c r="D286" s="4" t="s">
        <v>16</v>
      </c>
      <c r="E286" s="4" t="s">
        <v>46</v>
      </c>
      <c r="F286" s="4" t="s">
        <v>41</v>
      </c>
      <c r="G286" s="4" t="s">
        <v>11</v>
      </c>
      <c r="H286" s="5">
        <v>13528.0</v>
      </c>
      <c r="I286" s="4" t="s">
        <v>47</v>
      </c>
    </row>
    <row r="287">
      <c r="A287" s="4" t="s">
        <v>577</v>
      </c>
      <c r="B287" s="4" t="s">
        <v>578</v>
      </c>
      <c r="C287" s="4" t="s">
        <v>57</v>
      </c>
      <c r="D287" s="4" t="s">
        <v>19</v>
      </c>
      <c r="E287" s="4" t="s">
        <v>46</v>
      </c>
      <c r="F287" s="4" t="s">
        <v>52</v>
      </c>
      <c r="G287" s="4" t="s">
        <v>12</v>
      </c>
      <c r="H287" s="5">
        <v>12644.0</v>
      </c>
      <c r="I287" s="4" t="s">
        <v>42</v>
      </c>
    </row>
    <row r="288">
      <c r="A288" s="4" t="s">
        <v>579</v>
      </c>
      <c r="B288" s="4" t="s">
        <v>205</v>
      </c>
      <c r="C288" s="4" t="s">
        <v>57</v>
      </c>
      <c r="D288" s="4" t="s">
        <v>19</v>
      </c>
      <c r="E288" s="4" t="s">
        <v>20</v>
      </c>
      <c r="F288" s="4" t="s">
        <v>21</v>
      </c>
      <c r="G288" s="4" t="s">
        <v>11</v>
      </c>
      <c r="H288" s="5">
        <v>13127.0</v>
      </c>
      <c r="I288" s="4"/>
    </row>
    <row r="289">
      <c r="A289" s="4" t="s">
        <v>580</v>
      </c>
      <c r="B289" s="4" t="s">
        <v>113</v>
      </c>
      <c r="C289" s="4" t="s">
        <v>57</v>
      </c>
      <c r="D289" s="4" t="s">
        <v>19</v>
      </c>
      <c r="E289" s="4" t="s">
        <v>58</v>
      </c>
      <c r="F289" s="4" t="s">
        <v>52</v>
      </c>
      <c r="G289" s="4" t="s">
        <v>11</v>
      </c>
      <c r="H289" s="5">
        <v>11665.0</v>
      </c>
      <c r="I289" s="4"/>
    </row>
    <row r="290">
      <c r="A290" s="4" t="s">
        <v>581</v>
      </c>
      <c r="B290" s="4" t="s">
        <v>471</v>
      </c>
      <c r="C290" s="4" t="s">
        <v>45</v>
      </c>
      <c r="D290" s="4" t="s">
        <v>22</v>
      </c>
      <c r="E290" s="4" t="s">
        <v>20</v>
      </c>
      <c r="F290" s="4" t="s">
        <v>21</v>
      </c>
      <c r="G290" s="4" t="s">
        <v>12</v>
      </c>
      <c r="H290" s="5">
        <v>18392.0</v>
      </c>
      <c r="I290" s="4" t="s">
        <v>42</v>
      </c>
    </row>
    <row r="291">
      <c r="A291" s="4" t="s">
        <v>582</v>
      </c>
      <c r="B291" s="4" t="s">
        <v>583</v>
      </c>
      <c r="C291" s="4" t="s">
        <v>45</v>
      </c>
      <c r="D291" s="4" t="s">
        <v>22</v>
      </c>
      <c r="E291" s="4" t="s">
        <v>58</v>
      </c>
      <c r="F291" s="4" t="s">
        <v>41</v>
      </c>
      <c r="G291" s="4" t="s">
        <v>11</v>
      </c>
      <c r="H291" s="5">
        <v>16356.0</v>
      </c>
      <c r="I291" s="4" t="s">
        <v>37</v>
      </c>
    </row>
    <row r="292">
      <c r="A292" s="4" t="s">
        <v>584</v>
      </c>
      <c r="B292" s="4" t="s">
        <v>385</v>
      </c>
      <c r="C292" s="4" t="s">
        <v>18</v>
      </c>
      <c r="D292" s="4" t="s">
        <v>16</v>
      </c>
      <c r="E292" s="4" t="s">
        <v>20</v>
      </c>
      <c r="F292" s="4" t="s">
        <v>21</v>
      </c>
      <c r="G292" s="4" t="s">
        <v>11</v>
      </c>
      <c r="H292" s="5">
        <v>15961.0</v>
      </c>
      <c r="I292" s="4" t="s">
        <v>42</v>
      </c>
    </row>
    <row r="293">
      <c r="A293" s="4" t="s">
        <v>585</v>
      </c>
      <c r="B293" s="4" t="s">
        <v>278</v>
      </c>
      <c r="C293" s="4" t="s">
        <v>18</v>
      </c>
      <c r="D293" s="4" t="s">
        <v>16</v>
      </c>
      <c r="E293" s="4" t="s">
        <v>20</v>
      </c>
      <c r="F293" s="4" t="s">
        <v>21</v>
      </c>
      <c r="G293" s="4" t="s">
        <v>13</v>
      </c>
      <c r="H293" s="5">
        <v>14147.0</v>
      </c>
      <c r="I293" s="4" t="s">
        <v>42</v>
      </c>
    </row>
    <row r="294">
      <c r="A294" s="4" t="s">
        <v>586</v>
      </c>
      <c r="B294" s="4" t="s">
        <v>587</v>
      </c>
      <c r="C294" s="4" t="s">
        <v>57</v>
      </c>
      <c r="D294" s="4" t="s">
        <v>19</v>
      </c>
      <c r="E294" s="4" t="s">
        <v>20</v>
      </c>
      <c r="F294" s="4" t="s">
        <v>41</v>
      </c>
      <c r="G294" s="4" t="s">
        <v>13</v>
      </c>
      <c r="H294" s="5">
        <v>13345.0</v>
      </c>
      <c r="I294" s="4" t="s">
        <v>37</v>
      </c>
    </row>
    <row r="295">
      <c r="A295" s="4" t="s">
        <v>588</v>
      </c>
      <c r="B295" s="4" t="s">
        <v>589</v>
      </c>
      <c r="C295" s="4" t="s">
        <v>45</v>
      </c>
      <c r="D295" s="4" t="s">
        <v>22</v>
      </c>
      <c r="E295" s="4" t="s">
        <v>58</v>
      </c>
      <c r="F295" s="4" t="s">
        <v>41</v>
      </c>
      <c r="G295" s="4" t="s">
        <v>11</v>
      </c>
      <c r="H295" s="5">
        <v>17828.0</v>
      </c>
      <c r="I295" s="4" t="s">
        <v>23</v>
      </c>
    </row>
    <row r="296">
      <c r="A296" s="4" t="s">
        <v>590</v>
      </c>
      <c r="B296" s="4" t="s">
        <v>108</v>
      </c>
      <c r="C296" s="4" t="s">
        <v>76</v>
      </c>
      <c r="D296" s="4" t="s">
        <v>24</v>
      </c>
      <c r="E296" s="4" t="s">
        <v>20</v>
      </c>
      <c r="F296" s="4" t="s">
        <v>52</v>
      </c>
      <c r="G296" s="4" t="s">
        <v>13</v>
      </c>
      <c r="H296" s="5">
        <v>9890.0</v>
      </c>
      <c r="I296" s="4" t="s">
        <v>23</v>
      </c>
    </row>
    <row r="297">
      <c r="A297" s="4" t="s">
        <v>591</v>
      </c>
      <c r="B297" s="4" t="s">
        <v>40</v>
      </c>
      <c r="C297" s="4" t="s">
        <v>45</v>
      </c>
      <c r="D297" s="4" t="s">
        <v>22</v>
      </c>
      <c r="E297" s="4" t="s">
        <v>20</v>
      </c>
      <c r="F297" s="4" t="s">
        <v>21</v>
      </c>
      <c r="G297" s="4" t="s">
        <v>12</v>
      </c>
      <c r="H297" s="5">
        <v>16543.0</v>
      </c>
      <c r="I297" s="4" t="s">
        <v>47</v>
      </c>
    </row>
    <row r="298">
      <c r="A298" s="4" t="s">
        <v>592</v>
      </c>
      <c r="B298" s="4" t="s">
        <v>427</v>
      </c>
      <c r="C298" s="4" t="s">
        <v>45</v>
      </c>
      <c r="D298" s="4" t="s">
        <v>22</v>
      </c>
      <c r="E298" s="4" t="s">
        <v>20</v>
      </c>
      <c r="F298" s="4" t="s">
        <v>21</v>
      </c>
      <c r="G298" s="4" t="s">
        <v>12</v>
      </c>
      <c r="H298" s="5">
        <v>18162.0</v>
      </c>
      <c r="I298" s="4" t="s">
        <v>47</v>
      </c>
    </row>
    <row r="299">
      <c r="A299" s="4" t="s">
        <v>593</v>
      </c>
      <c r="B299" s="4" t="s">
        <v>266</v>
      </c>
      <c r="C299" s="4" t="s">
        <v>57</v>
      </c>
      <c r="D299" s="4" t="s">
        <v>19</v>
      </c>
      <c r="E299" s="4" t="s">
        <v>58</v>
      </c>
      <c r="F299" s="4" t="s">
        <v>52</v>
      </c>
      <c r="G299" s="4" t="s">
        <v>11</v>
      </c>
      <c r="H299" s="5">
        <v>11921.0</v>
      </c>
      <c r="I299" s="4" t="s">
        <v>47</v>
      </c>
    </row>
    <row r="300">
      <c r="A300" s="4" t="s">
        <v>594</v>
      </c>
      <c r="B300" s="4" t="s">
        <v>448</v>
      </c>
      <c r="C300" s="4" t="s">
        <v>57</v>
      </c>
      <c r="D300" s="4" t="s">
        <v>19</v>
      </c>
      <c r="E300" s="4" t="s">
        <v>20</v>
      </c>
      <c r="F300" s="4" t="s">
        <v>52</v>
      </c>
      <c r="G300" s="4" t="s">
        <v>11</v>
      </c>
      <c r="H300" s="5">
        <v>12298.0</v>
      </c>
      <c r="I300" s="4"/>
    </row>
    <row r="301">
      <c r="A301" s="4" t="s">
        <v>595</v>
      </c>
      <c r="B301" s="4" t="s">
        <v>108</v>
      </c>
      <c r="C301" s="4" t="s">
        <v>45</v>
      </c>
      <c r="D301" s="4" t="s">
        <v>22</v>
      </c>
      <c r="E301" s="4" t="s">
        <v>58</v>
      </c>
      <c r="F301" s="4" t="s">
        <v>41</v>
      </c>
      <c r="G301" s="4" t="s">
        <v>12</v>
      </c>
      <c r="H301" s="5">
        <v>17771.0</v>
      </c>
      <c r="I301" s="4" t="s">
        <v>42</v>
      </c>
    </row>
    <row r="302">
      <c r="A302" s="4" t="s">
        <v>596</v>
      </c>
      <c r="B302" s="4" t="s">
        <v>176</v>
      </c>
      <c r="C302" s="4" t="s">
        <v>45</v>
      </c>
      <c r="D302" s="4" t="s">
        <v>22</v>
      </c>
      <c r="E302" s="4" t="s">
        <v>46</v>
      </c>
      <c r="F302" s="4" t="s">
        <v>21</v>
      </c>
      <c r="G302" s="4" t="s">
        <v>13</v>
      </c>
      <c r="H302" s="5">
        <v>16178.0</v>
      </c>
      <c r="I302" s="4" t="s">
        <v>37</v>
      </c>
    </row>
    <row r="303">
      <c r="A303" s="4" t="s">
        <v>597</v>
      </c>
      <c r="B303" s="4" t="s">
        <v>545</v>
      </c>
      <c r="C303" s="4" t="s">
        <v>45</v>
      </c>
      <c r="D303" s="4" t="s">
        <v>22</v>
      </c>
      <c r="E303" s="4" t="s">
        <v>20</v>
      </c>
      <c r="F303" s="4" t="s">
        <v>21</v>
      </c>
      <c r="G303" s="4" t="s">
        <v>13</v>
      </c>
      <c r="H303" s="5">
        <v>15827.0</v>
      </c>
      <c r="I303" s="4" t="s">
        <v>42</v>
      </c>
    </row>
    <row r="304">
      <c r="A304" s="4" t="s">
        <v>598</v>
      </c>
      <c r="B304" s="4" t="s">
        <v>111</v>
      </c>
      <c r="C304" s="4" t="s">
        <v>45</v>
      </c>
      <c r="D304" s="4" t="s">
        <v>22</v>
      </c>
      <c r="E304" s="4" t="s">
        <v>46</v>
      </c>
      <c r="F304" s="4" t="s">
        <v>41</v>
      </c>
      <c r="G304" s="4" t="s">
        <v>12</v>
      </c>
      <c r="H304" s="5">
        <v>18034.0</v>
      </c>
      <c r="I304" s="4" t="s">
        <v>42</v>
      </c>
    </row>
    <row r="305">
      <c r="A305" s="4" t="s">
        <v>599</v>
      </c>
      <c r="B305" s="4" t="s">
        <v>600</v>
      </c>
      <c r="C305" s="4" t="s">
        <v>57</v>
      </c>
      <c r="D305" s="4" t="s">
        <v>19</v>
      </c>
      <c r="E305" s="4" t="s">
        <v>20</v>
      </c>
      <c r="F305" s="4" t="s">
        <v>41</v>
      </c>
      <c r="G305" s="4" t="s">
        <v>13</v>
      </c>
      <c r="H305" s="5">
        <v>11410.0</v>
      </c>
      <c r="I305" s="4"/>
    </row>
    <row r="306">
      <c r="A306" s="4" t="s">
        <v>601</v>
      </c>
      <c r="B306" s="4" t="s">
        <v>431</v>
      </c>
      <c r="C306" s="4" t="s">
        <v>18</v>
      </c>
      <c r="D306" s="4" t="s">
        <v>16</v>
      </c>
      <c r="E306" s="4" t="s">
        <v>20</v>
      </c>
      <c r="F306" s="4" t="s">
        <v>41</v>
      </c>
      <c r="G306" s="4" t="s">
        <v>13</v>
      </c>
      <c r="H306" s="5">
        <v>15950.0</v>
      </c>
      <c r="I306" s="4" t="s">
        <v>42</v>
      </c>
    </row>
    <row r="307">
      <c r="A307" s="4" t="s">
        <v>602</v>
      </c>
      <c r="B307" s="4" t="s">
        <v>463</v>
      </c>
      <c r="C307" s="4" t="s">
        <v>76</v>
      </c>
      <c r="D307" s="4" t="s">
        <v>24</v>
      </c>
      <c r="E307" s="4" t="s">
        <v>58</v>
      </c>
      <c r="F307" s="4" t="s">
        <v>52</v>
      </c>
      <c r="G307" s="4" t="s">
        <v>13</v>
      </c>
      <c r="H307" s="5">
        <v>10096.0</v>
      </c>
      <c r="I307" s="4" t="s">
        <v>47</v>
      </c>
    </row>
    <row r="308">
      <c r="A308" s="4" t="s">
        <v>603</v>
      </c>
      <c r="B308" s="4" t="s">
        <v>379</v>
      </c>
      <c r="C308" s="4" t="s">
        <v>18</v>
      </c>
      <c r="D308" s="4" t="s">
        <v>16</v>
      </c>
      <c r="E308" s="4" t="s">
        <v>46</v>
      </c>
      <c r="F308" s="4" t="s">
        <v>52</v>
      </c>
      <c r="G308" s="4" t="s">
        <v>12</v>
      </c>
      <c r="H308" s="5">
        <v>12951.0</v>
      </c>
      <c r="I308" s="4" t="s">
        <v>42</v>
      </c>
    </row>
    <row r="309">
      <c r="A309" s="4" t="s">
        <v>604</v>
      </c>
      <c r="B309" s="4" t="s">
        <v>471</v>
      </c>
      <c r="C309" s="4" t="s">
        <v>18</v>
      </c>
      <c r="D309" s="4" t="s">
        <v>16</v>
      </c>
      <c r="E309" s="4" t="s">
        <v>46</v>
      </c>
      <c r="F309" s="4" t="s">
        <v>21</v>
      </c>
      <c r="G309" s="4" t="s">
        <v>13</v>
      </c>
      <c r="H309" s="5">
        <v>15825.0</v>
      </c>
      <c r="I309" s="4" t="s">
        <v>37</v>
      </c>
    </row>
    <row r="310">
      <c r="A310" s="4" t="s">
        <v>605</v>
      </c>
      <c r="B310" s="4" t="s">
        <v>197</v>
      </c>
      <c r="C310" s="4" t="s">
        <v>76</v>
      </c>
      <c r="D310" s="4" t="s">
        <v>24</v>
      </c>
      <c r="E310" s="4" t="s">
        <v>46</v>
      </c>
      <c r="F310" s="4" t="s">
        <v>52</v>
      </c>
      <c r="G310" s="4" t="s">
        <v>11</v>
      </c>
      <c r="H310" s="5">
        <v>10591.0</v>
      </c>
      <c r="I310" s="4" t="s">
        <v>37</v>
      </c>
    </row>
    <row r="311">
      <c r="A311" s="4" t="s">
        <v>606</v>
      </c>
      <c r="B311" s="4" t="s">
        <v>154</v>
      </c>
      <c r="C311" s="4" t="s">
        <v>18</v>
      </c>
      <c r="D311" s="4" t="s">
        <v>16</v>
      </c>
      <c r="E311" s="4" t="s">
        <v>58</v>
      </c>
      <c r="F311" s="4" t="s">
        <v>21</v>
      </c>
      <c r="G311" s="4" t="s">
        <v>11</v>
      </c>
      <c r="H311" s="5">
        <v>14626.0</v>
      </c>
      <c r="I311" s="4" t="s">
        <v>42</v>
      </c>
    </row>
    <row r="312">
      <c r="A312" s="4" t="s">
        <v>607</v>
      </c>
      <c r="B312" s="4" t="s">
        <v>608</v>
      </c>
      <c r="C312" s="4" t="s">
        <v>76</v>
      </c>
      <c r="D312" s="4" t="s">
        <v>24</v>
      </c>
      <c r="E312" s="4" t="s">
        <v>58</v>
      </c>
      <c r="F312" s="4" t="s">
        <v>41</v>
      </c>
      <c r="G312" s="4" t="s">
        <v>13</v>
      </c>
      <c r="H312" s="5">
        <v>8354.0</v>
      </c>
      <c r="I312" s="4" t="s">
        <v>23</v>
      </c>
    </row>
    <row r="313">
      <c r="A313" s="4" t="s">
        <v>609</v>
      </c>
      <c r="B313" s="4" t="s">
        <v>429</v>
      </c>
      <c r="C313" s="4" t="s">
        <v>45</v>
      </c>
      <c r="D313" s="4" t="s">
        <v>22</v>
      </c>
      <c r="E313" s="4" t="s">
        <v>20</v>
      </c>
      <c r="F313" s="4" t="s">
        <v>41</v>
      </c>
      <c r="G313" s="4" t="s">
        <v>13</v>
      </c>
      <c r="H313" s="5">
        <v>18017.0</v>
      </c>
      <c r="I313" s="4" t="s">
        <v>47</v>
      </c>
    </row>
    <row r="314">
      <c r="A314" s="4" t="s">
        <v>610</v>
      </c>
      <c r="B314" s="4" t="s">
        <v>154</v>
      </c>
      <c r="C314" s="4" t="s">
        <v>57</v>
      </c>
      <c r="D314" s="4" t="s">
        <v>19</v>
      </c>
      <c r="E314" s="4" t="s">
        <v>46</v>
      </c>
      <c r="F314" s="4" t="s">
        <v>52</v>
      </c>
      <c r="G314" s="4" t="s">
        <v>12</v>
      </c>
      <c r="H314" s="5">
        <v>14674.0</v>
      </c>
      <c r="I314" s="4"/>
    </row>
    <row r="315">
      <c r="A315" s="4" t="s">
        <v>611</v>
      </c>
      <c r="B315" s="4" t="s">
        <v>612</v>
      </c>
      <c r="C315" s="4" t="s">
        <v>45</v>
      </c>
      <c r="D315" s="4" t="s">
        <v>22</v>
      </c>
      <c r="E315" s="4" t="s">
        <v>46</v>
      </c>
      <c r="F315" s="4" t="s">
        <v>21</v>
      </c>
      <c r="G315" s="4" t="s">
        <v>12</v>
      </c>
      <c r="H315" s="5">
        <v>15390.0</v>
      </c>
      <c r="I315" s="4" t="s">
        <v>23</v>
      </c>
    </row>
    <row r="316">
      <c r="A316" s="4" t="s">
        <v>613</v>
      </c>
      <c r="B316" s="4" t="s">
        <v>240</v>
      </c>
      <c r="C316" s="4" t="s">
        <v>57</v>
      </c>
      <c r="D316" s="4" t="s">
        <v>19</v>
      </c>
      <c r="E316" s="4" t="s">
        <v>46</v>
      </c>
      <c r="F316" s="4" t="s">
        <v>21</v>
      </c>
      <c r="G316" s="4" t="s">
        <v>11</v>
      </c>
      <c r="H316" s="5">
        <v>11964.0</v>
      </c>
      <c r="I316" s="4"/>
    </row>
    <row r="317">
      <c r="A317" s="4" t="s">
        <v>614</v>
      </c>
      <c r="B317" s="4" t="s">
        <v>170</v>
      </c>
      <c r="C317" s="4" t="s">
        <v>45</v>
      </c>
      <c r="D317" s="4" t="s">
        <v>22</v>
      </c>
      <c r="E317" s="4" t="s">
        <v>20</v>
      </c>
      <c r="F317" s="4" t="s">
        <v>52</v>
      </c>
      <c r="G317" s="4" t="s">
        <v>12</v>
      </c>
      <c r="H317" s="5">
        <v>15046.0</v>
      </c>
      <c r="I317" s="4" t="s">
        <v>47</v>
      </c>
    </row>
    <row r="318">
      <c r="A318" s="4" t="s">
        <v>615</v>
      </c>
      <c r="B318" s="4" t="s">
        <v>616</v>
      </c>
      <c r="C318" s="4" t="s">
        <v>57</v>
      </c>
      <c r="D318" s="4" t="s">
        <v>19</v>
      </c>
      <c r="E318" s="4" t="s">
        <v>46</v>
      </c>
      <c r="F318" s="4" t="s">
        <v>52</v>
      </c>
      <c r="G318" s="4" t="s">
        <v>13</v>
      </c>
      <c r="H318" s="5">
        <v>12906.0</v>
      </c>
      <c r="I318" s="4" t="s">
        <v>47</v>
      </c>
    </row>
    <row r="319">
      <c r="A319" s="4" t="s">
        <v>617</v>
      </c>
      <c r="B319" s="4" t="s">
        <v>366</v>
      </c>
      <c r="C319" s="4" t="s">
        <v>45</v>
      </c>
      <c r="D319" s="4" t="s">
        <v>22</v>
      </c>
      <c r="E319" s="4" t="s">
        <v>20</v>
      </c>
      <c r="F319" s="4" t="s">
        <v>41</v>
      </c>
      <c r="G319" s="4" t="s">
        <v>12</v>
      </c>
      <c r="H319" s="5">
        <v>18752.0</v>
      </c>
      <c r="I319" s="4" t="s">
        <v>47</v>
      </c>
    </row>
    <row r="320">
      <c r="A320" s="4" t="s">
        <v>618</v>
      </c>
      <c r="B320" s="4" t="s">
        <v>619</v>
      </c>
      <c r="C320" s="4" t="s">
        <v>57</v>
      </c>
      <c r="D320" s="4" t="s">
        <v>19</v>
      </c>
      <c r="E320" s="4" t="s">
        <v>46</v>
      </c>
      <c r="F320" s="4" t="s">
        <v>21</v>
      </c>
      <c r="G320" s="4" t="s">
        <v>13</v>
      </c>
      <c r="H320" s="5">
        <v>12863.0</v>
      </c>
      <c r="I320" s="4" t="s">
        <v>42</v>
      </c>
    </row>
    <row r="321">
      <c r="A321" s="4" t="s">
        <v>620</v>
      </c>
      <c r="B321" s="4" t="s">
        <v>134</v>
      </c>
      <c r="C321" s="4" t="s">
        <v>76</v>
      </c>
      <c r="D321" s="4" t="s">
        <v>24</v>
      </c>
      <c r="E321" s="4" t="s">
        <v>20</v>
      </c>
      <c r="F321" s="4" t="s">
        <v>52</v>
      </c>
      <c r="G321" s="4" t="s">
        <v>13</v>
      </c>
      <c r="H321" s="5">
        <v>10120.0</v>
      </c>
      <c r="I321" s="4" t="s">
        <v>23</v>
      </c>
    </row>
    <row r="322">
      <c r="A322" s="4" t="s">
        <v>621</v>
      </c>
      <c r="B322" s="4" t="s">
        <v>622</v>
      </c>
      <c r="C322" s="4" t="s">
        <v>18</v>
      </c>
      <c r="D322" s="4" t="s">
        <v>16</v>
      </c>
      <c r="E322" s="4" t="s">
        <v>20</v>
      </c>
      <c r="F322" s="4" t="s">
        <v>21</v>
      </c>
      <c r="G322" s="4" t="s">
        <v>12</v>
      </c>
      <c r="H322" s="5">
        <v>14882.0</v>
      </c>
      <c r="I322" s="4" t="s">
        <v>47</v>
      </c>
    </row>
    <row r="323">
      <c r="A323" s="4" t="s">
        <v>623</v>
      </c>
      <c r="B323" s="4" t="s">
        <v>75</v>
      </c>
      <c r="C323" s="4" t="s">
        <v>18</v>
      </c>
      <c r="D323" s="4" t="s">
        <v>16</v>
      </c>
      <c r="E323" s="4" t="s">
        <v>46</v>
      </c>
      <c r="F323" s="4" t="s">
        <v>52</v>
      </c>
      <c r="G323" s="4" t="s">
        <v>12</v>
      </c>
      <c r="H323" s="5">
        <v>12828.0</v>
      </c>
      <c r="I323" s="4" t="s">
        <v>42</v>
      </c>
    </row>
    <row r="324">
      <c r="A324" s="4" t="s">
        <v>624</v>
      </c>
      <c r="B324" s="4" t="s">
        <v>223</v>
      </c>
      <c r="C324" s="4" t="s">
        <v>45</v>
      </c>
      <c r="D324" s="4" t="s">
        <v>22</v>
      </c>
      <c r="E324" s="4" t="s">
        <v>20</v>
      </c>
      <c r="F324" s="4" t="s">
        <v>21</v>
      </c>
      <c r="G324" s="4" t="s">
        <v>13</v>
      </c>
      <c r="H324" s="5">
        <v>17786.0</v>
      </c>
      <c r="I324" s="4" t="s">
        <v>23</v>
      </c>
    </row>
    <row r="325">
      <c r="A325" s="4" t="s">
        <v>625</v>
      </c>
      <c r="B325" s="4" t="s">
        <v>455</v>
      </c>
      <c r="C325" s="4" t="s">
        <v>18</v>
      </c>
      <c r="D325" s="4" t="s">
        <v>16</v>
      </c>
      <c r="E325" s="4" t="s">
        <v>20</v>
      </c>
      <c r="F325" s="4" t="s">
        <v>21</v>
      </c>
      <c r="G325" s="4" t="s">
        <v>13</v>
      </c>
      <c r="H325" s="5">
        <v>13857.0</v>
      </c>
      <c r="I325" s="4" t="s">
        <v>23</v>
      </c>
    </row>
    <row r="326">
      <c r="A326" s="4" t="s">
        <v>626</v>
      </c>
      <c r="B326" s="4" t="s">
        <v>627</v>
      </c>
      <c r="C326" s="4" t="s">
        <v>18</v>
      </c>
      <c r="D326" s="4" t="s">
        <v>16</v>
      </c>
      <c r="E326" s="4" t="s">
        <v>20</v>
      </c>
      <c r="F326" s="4" t="s">
        <v>21</v>
      </c>
      <c r="G326" s="4" t="s">
        <v>12</v>
      </c>
      <c r="H326" s="5">
        <v>15305.0</v>
      </c>
      <c r="I326" s="4" t="s">
        <v>47</v>
      </c>
    </row>
    <row r="327">
      <c r="A327" s="4" t="s">
        <v>628</v>
      </c>
      <c r="B327" s="4" t="s">
        <v>506</v>
      </c>
      <c r="C327" s="4" t="s">
        <v>45</v>
      </c>
      <c r="D327" s="4" t="s">
        <v>22</v>
      </c>
      <c r="E327" s="4" t="s">
        <v>46</v>
      </c>
      <c r="F327" s="4" t="s">
        <v>52</v>
      </c>
      <c r="G327" s="4" t="s">
        <v>13</v>
      </c>
      <c r="H327" s="5">
        <v>17368.0</v>
      </c>
      <c r="I327" s="4" t="s">
        <v>37</v>
      </c>
    </row>
    <row r="328">
      <c r="A328" s="4" t="s">
        <v>629</v>
      </c>
      <c r="B328" s="4" t="s">
        <v>574</v>
      </c>
      <c r="C328" s="4" t="s">
        <v>18</v>
      </c>
      <c r="D328" s="4" t="s">
        <v>16</v>
      </c>
      <c r="E328" s="4" t="s">
        <v>20</v>
      </c>
      <c r="F328" s="4" t="s">
        <v>41</v>
      </c>
      <c r="G328" s="4" t="s">
        <v>13</v>
      </c>
      <c r="H328" s="5">
        <v>15824.0</v>
      </c>
      <c r="I328" s="4"/>
    </row>
    <row r="329">
      <c r="A329" s="4" t="s">
        <v>630</v>
      </c>
      <c r="B329" s="4" t="s">
        <v>89</v>
      </c>
      <c r="C329" s="4" t="s">
        <v>57</v>
      </c>
      <c r="D329" s="4" t="s">
        <v>19</v>
      </c>
      <c r="E329" s="4" t="s">
        <v>46</v>
      </c>
      <c r="F329" s="4" t="s">
        <v>52</v>
      </c>
      <c r="G329" s="4" t="s">
        <v>12</v>
      </c>
      <c r="H329" s="5">
        <v>13645.0</v>
      </c>
      <c r="I329" s="4"/>
    </row>
    <row r="330">
      <c r="A330" s="4" t="s">
        <v>631</v>
      </c>
      <c r="B330" s="4" t="s">
        <v>176</v>
      </c>
      <c r="C330" s="4" t="s">
        <v>76</v>
      </c>
      <c r="D330" s="4" t="s">
        <v>24</v>
      </c>
      <c r="E330" s="4" t="s">
        <v>58</v>
      </c>
      <c r="F330" s="4" t="s">
        <v>21</v>
      </c>
      <c r="G330" s="4" t="s">
        <v>13</v>
      </c>
      <c r="H330" s="5">
        <v>9796.0</v>
      </c>
      <c r="I330" s="4" t="s">
        <v>42</v>
      </c>
    </row>
    <row r="331">
      <c r="A331" s="4" t="s">
        <v>632</v>
      </c>
      <c r="B331" s="4" t="s">
        <v>257</v>
      </c>
      <c r="C331" s="4" t="s">
        <v>45</v>
      </c>
      <c r="D331" s="4" t="s">
        <v>22</v>
      </c>
      <c r="E331" s="4" t="s">
        <v>46</v>
      </c>
      <c r="F331" s="4" t="s">
        <v>41</v>
      </c>
      <c r="G331" s="4" t="s">
        <v>12</v>
      </c>
      <c r="H331" s="5">
        <v>16609.0</v>
      </c>
      <c r="I331" s="4" t="s">
        <v>42</v>
      </c>
    </row>
    <row r="332">
      <c r="A332" s="4" t="s">
        <v>633</v>
      </c>
      <c r="B332" s="4" t="s">
        <v>497</v>
      </c>
      <c r="C332" s="4" t="s">
        <v>18</v>
      </c>
      <c r="D332" s="4" t="s">
        <v>16</v>
      </c>
      <c r="E332" s="4" t="s">
        <v>46</v>
      </c>
      <c r="F332" s="4" t="s">
        <v>21</v>
      </c>
      <c r="G332" s="4" t="s">
        <v>11</v>
      </c>
      <c r="H332" s="5">
        <v>14758.0</v>
      </c>
      <c r="I332" s="4" t="s">
        <v>42</v>
      </c>
    </row>
    <row r="333">
      <c r="A333" s="4" t="s">
        <v>634</v>
      </c>
      <c r="B333" s="4" t="s">
        <v>488</v>
      </c>
      <c r="C333" s="4" t="s">
        <v>57</v>
      </c>
      <c r="D333" s="4" t="s">
        <v>19</v>
      </c>
      <c r="E333" s="4" t="s">
        <v>46</v>
      </c>
      <c r="F333" s="4" t="s">
        <v>21</v>
      </c>
      <c r="G333" s="4" t="s">
        <v>11</v>
      </c>
      <c r="H333" s="5">
        <v>11635.0</v>
      </c>
      <c r="I333" s="4" t="s">
        <v>47</v>
      </c>
    </row>
    <row r="334">
      <c r="A334" s="4" t="s">
        <v>635</v>
      </c>
      <c r="B334" s="4" t="s">
        <v>343</v>
      </c>
      <c r="C334" s="4" t="s">
        <v>18</v>
      </c>
      <c r="D334" s="4" t="s">
        <v>16</v>
      </c>
      <c r="E334" s="4" t="s">
        <v>46</v>
      </c>
      <c r="F334" s="4" t="s">
        <v>52</v>
      </c>
      <c r="G334" s="4" t="s">
        <v>11</v>
      </c>
      <c r="H334" s="5">
        <v>14518.0</v>
      </c>
      <c r="I334" s="4" t="s">
        <v>37</v>
      </c>
    </row>
    <row r="335">
      <c r="A335" s="4" t="s">
        <v>636</v>
      </c>
      <c r="B335" s="4" t="s">
        <v>288</v>
      </c>
      <c r="C335" s="4" t="s">
        <v>18</v>
      </c>
      <c r="D335" s="4" t="s">
        <v>16</v>
      </c>
      <c r="E335" s="4" t="s">
        <v>20</v>
      </c>
      <c r="F335" s="4" t="s">
        <v>41</v>
      </c>
      <c r="G335" s="4" t="s">
        <v>11</v>
      </c>
      <c r="H335" s="5">
        <v>14448.0</v>
      </c>
      <c r="I335" s="4" t="s">
        <v>37</v>
      </c>
    </row>
    <row r="336">
      <c r="A336" s="4" t="s">
        <v>637</v>
      </c>
      <c r="B336" s="4" t="s">
        <v>564</v>
      </c>
      <c r="C336" s="4" t="s">
        <v>76</v>
      </c>
      <c r="D336" s="4" t="s">
        <v>24</v>
      </c>
      <c r="E336" s="4" t="s">
        <v>58</v>
      </c>
      <c r="F336" s="4" t="s">
        <v>41</v>
      </c>
      <c r="G336" s="4" t="s">
        <v>12</v>
      </c>
      <c r="H336" s="5">
        <v>7889.0</v>
      </c>
      <c r="I336" s="4" t="s">
        <v>37</v>
      </c>
    </row>
    <row r="337">
      <c r="A337" s="4" t="s">
        <v>638</v>
      </c>
      <c r="B337" s="4" t="s">
        <v>548</v>
      </c>
      <c r="C337" s="4" t="s">
        <v>57</v>
      </c>
      <c r="D337" s="4" t="s">
        <v>19</v>
      </c>
      <c r="E337" s="4" t="s">
        <v>20</v>
      </c>
      <c r="F337" s="4" t="s">
        <v>52</v>
      </c>
      <c r="G337" s="4" t="s">
        <v>11</v>
      </c>
      <c r="H337" s="5">
        <v>13365.0</v>
      </c>
      <c r="I337" s="4" t="s">
        <v>42</v>
      </c>
    </row>
    <row r="338">
      <c r="A338" s="4" t="s">
        <v>639</v>
      </c>
      <c r="B338" s="4" t="s">
        <v>257</v>
      </c>
      <c r="C338" s="4" t="s">
        <v>45</v>
      </c>
      <c r="D338" s="4" t="s">
        <v>22</v>
      </c>
      <c r="E338" s="4" t="s">
        <v>46</v>
      </c>
      <c r="F338" s="4" t="s">
        <v>21</v>
      </c>
      <c r="G338" s="4" t="s">
        <v>13</v>
      </c>
      <c r="H338" s="5">
        <v>17704.0</v>
      </c>
      <c r="I338" s="4" t="s">
        <v>42</v>
      </c>
    </row>
    <row r="339">
      <c r="A339" s="4" t="s">
        <v>640</v>
      </c>
      <c r="B339" s="4" t="s">
        <v>535</v>
      </c>
      <c r="C339" s="4" t="s">
        <v>45</v>
      </c>
      <c r="D339" s="4" t="s">
        <v>22</v>
      </c>
      <c r="E339" s="4" t="s">
        <v>46</v>
      </c>
      <c r="F339" s="4" t="s">
        <v>52</v>
      </c>
      <c r="G339" s="4" t="s">
        <v>12</v>
      </c>
      <c r="H339" s="5">
        <v>18603.0</v>
      </c>
      <c r="I339" s="4" t="s">
        <v>23</v>
      </c>
    </row>
    <row r="340">
      <c r="A340" s="4" t="s">
        <v>641</v>
      </c>
      <c r="B340" s="4" t="s">
        <v>119</v>
      </c>
      <c r="C340" s="4" t="s">
        <v>76</v>
      </c>
      <c r="D340" s="4" t="s">
        <v>24</v>
      </c>
      <c r="E340" s="4" t="s">
        <v>46</v>
      </c>
      <c r="F340" s="4" t="s">
        <v>21</v>
      </c>
      <c r="G340" s="4" t="s">
        <v>12</v>
      </c>
      <c r="H340" s="5">
        <v>9749.0</v>
      </c>
      <c r="I340" s="4"/>
    </row>
    <row r="341">
      <c r="A341" s="4" t="s">
        <v>642</v>
      </c>
      <c r="B341" s="4" t="s">
        <v>274</v>
      </c>
      <c r="C341" s="4" t="s">
        <v>76</v>
      </c>
      <c r="D341" s="4" t="s">
        <v>24</v>
      </c>
      <c r="E341" s="4" t="s">
        <v>58</v>
      </c>
      <c r="F341" s="4" t="s">
        <v>41</v>
      </c>
      <c r="G341" s="4" t="s">
        <v>11</v>
      </c>
      <c r="H341" s="5">
        <v>8541.0</v>
      </c>
      <c r="I341" s="4" t="s">
        <v>23</v>
      </c>
    </row>
    <row r="342">
      <c r="A342" s="4" t="s">
        <v>643</v>
      </c>
      <c r="B342" s="4" t="s">
        <v>644</v>
      </c>
      <c r="C342" s="4" t="s">
        <v>57</v>
      </c>
      <c r="D342" s="4" t="s">
        <v>19</v>
      </c>
      <c r="E342" s="4" t="s">
        <v>46</v>
      </c>
      <c r="F342" s="4" t="s">
        <v>21</v>
      </c>
      <c r="G342" s="4" t="s">
        <v>12</v>
      </c>
      <c r="H342" s="5">
        <v>11591.0</v>
      </c>
      <c r="I342" s="4"/>
    </row>
    <row r="343">
      <c r="A343" s="4" t="s">
        <v>645</v>
      </c>
      <c r="B343" s="4" t="s">
        <v>213</v>
      </c>
      <c r="C343" s="4" t="s">
        <v>76</v>
      </c>
      <c r="D343" s="4" t="s">
        <v>24</v>
      </c>
      <c r="E343" s="4" t="s">
        <v>58</v>
      </c>
      <c r="F343" s="4" t="s">
        <v>52</v>
      </c>
      <c r="G343" s="4" t="s">
        <v>12</v>
      </c>
      <c r="H343" s="5">
        <v>7549.0</v>
      </c>
      <c r="I343" s="4"/>
    </row>
    <row r="344">
      <c r="A344" s="4" t="s">
        <v>646</v>
      </c>
      <c r="B344" s="4" t="s">
        <v>382</v>
      </c>
      <c r="C344" s="4" t="s">
        <v>45</v>
      </c>
      <c r="D344" s="4" t="s">
        <v>22</v>
      </c>
      <c r="E344" s="4" t="s">
        <v>20</v>
      </c>
      <c r="F344" s="4" t="s">
        <v>41</v>
      </c>
      <c r="G344" s="4" t="s">
        <v>11</v>
      </c>
      <c r="H344" s="5">
        <v>18469.0</v>
      </c>
      <c r="I344" s="4" t="s">
        <v>47</v>
      </c>
    </row>
    <row r="345">
      <c r="A345" s="4" t="s">
        <v>647</v>
      </c>
      <c r="B345" s="4" t="s">
        <v>648</v>
      </c>
      <c r="C345" s="4" t="s">
        <v>57</v>
      </c>
      <c r="D345" s="4" t="s">
        <v>19</v>
      </c>
      <c r="E345" s="4" t="s">
        <v>46</v>
      </c>
      <c r="F345" s="4" t="s">
        <v>21</v>
      </c>
      <c r="G345" s="4" t="s">
        <v>11</v>
      </c>
      <c r="H345" s="5">
        <v>13759.0</v>
      </c>
      <c r="I345" s="4" t="s">
        <v>42</v>
      </c>
    </row>
    <row r="346">
      <c r="A346" s="4" t="s">
        <v>649</v>
      </c>
      <c r="B346" s="4" t="s">
        <v>168</v>
      </c>
      <c r="C346" s="4" t="s">
        <v>18</v>
      </c>
      <c r="D346" s="4" t="s">
        <v>16</v>
      </c>
      <c r="E346" s="4" t="s">
        <v>46</v>
      </c>
      <c r="F346" s="4" t="s">
        <v>52</v>
      </c>
      <c r="G346" s="4" t="s">
        <v>12</v>
      </c>
      <c r="H346" s="5">
        <v>14750.0</v>
      </c>
      <c r="I346" s="4" t="s">
        <v>42</v>
      </c>
    </row>
    <row r="347">
      <c r="A347" s="4" t="s">
        <v>650</v>
      </c>
      <c r="B347" s="4" t="s">
        <v>266</v>
      </c>
      <c r="C347" s="4" t="s">
        <v>45</v>
      </c>
      <c r="D347" s="4" t="s">
        <v>22</v>
      </c>
      <c r="E347" s="4" t="s">
        <v>58</v>
      </c>
      <c r="F347" s="4" t="s">
        <v>41</v>
      </c>
      <c r="G347" s="4" t="s">
        <v>13</v>
      </c>
      <c r="H347" s="5">
        <v>18838.0</v>
      </c>
      <c r="I347" s="4" t="s">
        <v>23</v>
      </c>
    </row>
    <row r="348">
      <c r="A348" s="4" t="s">
        <v>651</v>
      </c>
      <c r="B348" s="4" t="s">
        <v>220</v>
      </c>
      <c r="C348" s="4" t="s">
        <v>76</v>
      </c>
      <c r="D348" s="4" t="s">
        <v>24</v>
      </c>
      <c r="E348" s="4" t="s">
        <v>46</v>
      </c>
      <c r="F348" s="4" t="s">
        <v>52</v>
      </c>
      <c r="G348" s="4" t="s">
        <v>12</v>
      </c>
      <c r="H348" s="5">
        <v>9882.0</v>
      </c>
      <c r="I348" s="4" t="s">
        <v>23</v>
      </c>
    </row>
    <row r="349">
      <c r="A349" s="4" t="s">
        <v>652</v>
      </c>
      <c r="B349" s="4" t="s">
        <v>653</v>
      </c>
      <c r="C349" s="4" t="s">
        <v>45</v>
      </c>
      <c r="D349" s="4" t="s">
        <v>22</v>
      </c>
      <c r="E349" s="4" t="s">
        <v>58</v>
      </c>
      <c r="F349" s="4" t="s">
        <v>21</v>
      </c>
      <c r="G349" s="4" t="s">
        <v>11</v>
      </c>
      <c r="H349" s="5">
        <v>17185.0</v>
      </c>
      <c r="I349" s="4" t="s">
        <v>47</v>
      </c>
    </row>
    <row r="350">
      <c r="A350" s="4" t="s">
        <v>654</v>
      </c>
      <c r="B350" s="4" t="s">
        <v>170</v>
      </c>
      <c r="C350" s="4" t="s">
        <v>76</v>
      </c>
      <c r="D350" s="4" t="s">
        <v>24</v>
      </c>
      <c r="E350" s="4" t="s">
        <v>58</v>
      </c>
      <c r="F350" s="4" t="s">
        <v>41</v>
      </c>
      <c r="G350" s="4" t="s">
        <v>12</v>
      </c>
      <c r="H350" s="5">
        <v>8923.0</v>
      </c>
      <c r="I350" s="4" t="s">
        <v>47</v>
      </c>
    </row>
    <row r="351">
      <c r="A351" s="4" t="s">
        <v>655</v>
      </c>
      <c r="B351" s="4" t="s">
        <v>491</v>
      </c>
      <c r="C351" s="4" t="s">
        <v>45</v>
      </c>
      <c r="D351" s="4" t="s">
        <v>22</v>
      </c>
      <c r="E351" s="4" t="s">
        <v>58</v>
      </c>
      <c r="F351" s="4" t="s">
        <v>41</v>
      </c>
      <c r="G351" s="4" t="s">
        <v>12</v>
      </c>
      <c r="H351" s="5">
        <v>18539.0</v>
      </c>
      <c r="I351" s="4" t="s">
        <v>23</v>
      </c>
    </row>
    <row r="352">
      <c r="A352" s="4" t="s">
        <v>656</v>
      </c>
      <c r="B352" s="4" t="s">
        <v>657</v>
      </c>
      <c r="C352" s="4" t="s">
        <v>45</v>
      </c>
      <c r="D352" s="4" t="s">
        <v>22</v>
      </c>
      <c r="E352" s="4" t="s">
        <v>20</v>
      </c>
      <c r="F352" s="4" t="s">
        <v>52</v>
      </c>
      <c r="G352" s="4" t="s">
        <v>12</v>
      </c>
      <c r="H352" s="5">
        <v>17949.0</v>
      </c>
      <c r="I352" s="4"/>
    </row>
    <row r="353">
      <c r="A353" s="4" t="s">
        <v>658</v>
      </c>
      <c r="B353" s="4" t="s">
        <v>49</v>
      </c>
      <c r="C353" s="4" t="s">
        <v>45</v>
      </c>
      <c r="D353" s="4" t="s">
        <v>22</v>
      </c>
      <c r="E353" s="4" t="s">
        <v>46</v>
      </c>
      <c r="F353" s="4" t="s">
        <v>21</v>
      </c>
      <c r="G353" s="4" t="s">
        <v>12</v>
      </c>
      <c r="H353" s="5">
        <v>18413.0</v>
      </c>
      <c r="I353" s="4" t="s">
        <v>23</v>
      </c>
    </row>
    <row r="354">
      <c r="A354" s="4" t="s">
        <v>659</v>
      </c>
      <c r="B354" s="4" t="s">
        <v>255</v>
      </c>
      <c r="C354" s="4" t="s">
        <v>45</v>
      </c>
      <c r="D354" s="4" t="s">
        <v>22</v>
      </c>
      <c r="E354" s="4" t="s">
        <v>58</v>
      </c>
      <c r="F354" s="4" t="s">
        <v>21</v>
      </c>
      <c r="G354" s="4" t="s">
        <v>12</v>
      </c>
      <c r="H354" s="5">
        <v>17628.0</v>
      </c>
      <c r="I354" s="4"/>
    </row>
    <row r="355">
      <c r="A355" s="4" t="s">
        <v>660</v>
      </c>
      <c r="B355" s="4" t="s">
        <v>372</v>
      </c>
      <c r="C355" s="4" t="s">
        <v>45</v>
      </c>
      <c r="D355" s="4" t="s">
        <v>22</v>
      </c>
      <c r="E355" s="4" t="s">
        <v>46</v>
      </c>
      <c r="F355" s="4" t="s">
        <v>41</v>
      </c>
      <c r="G355" s="4" t="s">
        <v>12</v>
      </c>
      <c r="H355" s="5">
        <v>17238.0</v>
      </c>
      <c r="I355" s="4"/>
    </row>
    <row r="356">
      <c r="A356" s="4" t="s">
        <v>661</v>
      </c>
      <c r="B356" s="4" t="s">
        <v>111</v>
      </c>
      <c r="C356" s="4" t="s">
        <v>18</v>
      </c>
      <c r="D356" s="4" t="s">
        <v>16</v>
      </c>
      <c r="E356" s="4" t="s">
        <v>20</v>
      </c>
      <c r="F356" s="4" t="s">
        <v>41</v>
      </c>
      <c r="G356" s="4" t="s">
        <v>13</v>
      </c>
      <c r="H356" s="5">
        <v>15871.0</v>
      </c>
      <c r="I356" s="4" t="s">
        <v>37</v>
      </c>
    </row>
    <row r="357">
      <c r="A357" s="4" t="s">
        <v>662</v>
      </c>
      <c r="B357" s="4" t="s">
        <v>506</v>
      </c>
      <c r="C357" s="4" t="s">
        <v>57</v>
      </c>
      <c r="D357" s="4" t="s">
        <v>19</v>
      </c>
      <c r="E357" s="4" t="s">
        <v>20</v>
      </c>
      <c r="F357" s="4" t="s">
        <v>41</v>
      </c>
      <c r="G357" s="4" t="s">
        <v>13</v>
      </c>
      <c r="H357" s="5">
        <v>13896.0</v>
      </c>
      <c r="I357" s="4" t="s">
        <v>23</v>
      </c>
    </row>
    <row r="358">
      <c r="A358" s="4" t="s">
        <v>663</v>
      </c>
      <c r="B358" s="4" t="s">
        <v>40</v>
      </c>
      <c r="C358" s="4" t="s">
        <v>76</v>
      </c>
      <c r="D358" s="4" t="s">
        <v>24</v>
      </c>
      <c r="E358" s="4" t="s">
        <v>58</v>
      </c>
      <c r="F358" s="4" t="s">
        <v>41</v>
      </c>
      <c r="G358" s="4" t="s">
        <v>12</v>
      </c>
      <c r="H358" s="5">
        <v>9612.0</v>
      </c>
      <c r="I358" s="4" t="s">
        <v>42</v>
      </c>
    </row>
    <row r="359">
      <c r="A359" s="4" t="s">
        <v>664</v>
      </c>
      <c r="B359" s="4" t="s">
        <v>429</v>
      </c>
      <c r="C359" s="4" t="s">
        <v>76</v>
      </c>
      <c r="D359" s="4" t="s">
        <v>24</v>
      </c>
      <c r="E359" s="4" t="s">
        <v>46</v>
      </c>
      <c r="F359" s="4" t="s">
        <v>41</v>
      </c>
      <c r="G359" s="4" t="s">
        <v>12</v>
      </c>
      <c r="H359" s="5">
        <v>9259.0</v>
      </c>
      <c r="I359" s="4"/>
    </row>
    <row r="360">
      <c r="A360" s="4" t="s">
        <v>665</v>
      </c>
      <c r="B360" s="4" t="s">
        <v>213</v>
      </c>
      <c r="C360" s="4" t="s">
        <v>45</v>
      </c>
      <c r="D360" s="4" t="s">
        <v>22</v>
      </c>
      <c r="E360" s="4" t="s">
        <v>20</v>
      </c>
      <c r="F360" s="4" t="s">
        <v>21</v>
      </c>
      <c r="G360" s="4" t="s">
        <v>13</v>
      </c>
      <c r="H360" s="5">
        <v>17057.0</v>
      </c>
      <c r="I360" s="4"/>
    </row>
    <row r="361">
      <c r="A361" s="4" t="s">
        <v>666</v>
      </c>
      <c r="B361" s="4" t="s">
        <v>157</v>
      </c>
      <c r="C361" s="4" t="s">
        <v>18</v>
      </c>
      <c r="D361" s="4" t="s">
        <v>16</v>
      </c>
      <c r="E361" s="4" t="s">
        <v>46</v>
      </c>
      <c r="F361" s="4" t="s">
        <v>52</v>
      </c>
      <c r="G361" s="4" t="s">
        <v>13</v>
      </c>
      <c r="H361" s="5">
        <v>12987.0</v>
      </c>
      <c r="I361" s="4" t="s">
        <v>23</v>
      </c>
    </row>
    <row r="362">
      <c r="A362" s="4" t="s">
        <v>667</v>
      </c>
      <c r="B362" s="4" t="s">
        <v>548</v>
      </c>
      <c r="C362" s="4" t="s">
        <v>45</v>
      </c>
      <c r="D362" s="4" t="s">
        <v>22</v>
      </c>
      <c r="E362" s="4" t="s">
        <v>58</v>
      </c>
      <c r="F362" s="4" t="s">
        <v>21</v>
      </c>
      <c r="G362" s="4" t="s">
        <v>13</v>
      </c>
      <c r="H362" s="5">
        <v>16528.0</v>
      </c>
      <c r="I362" s="4"/>
    </row>
    <row r="363">
      <c r="A363" s="4" t="s">
        <v>668</v>
      </c>
      <c r="B363" s="4" t="s">
        <v>619</v>
      </c>
      <c r="C363" s="4" t="s">
        <v>57</v>
      </c>
      <c r="D363" s="4" t="s">
        <v>19</v>
      </c>
      <c r="E363" s="4" t="s">
        <v>58</v>
      </c>
      <c r="F363" s="4" t="s">
        <v>52</v>
      </c>
      <c r="G363" s="4" t="s">
        <v>13</v>
      </c>
      <c r="H363" s="5">
        <v>13677.0</v>
      </c>
      <c r="I363" s="4" t="s">
        <v>37</v>
      </c>
    </row>
    <row r="364">
      <c r="A364" s="4" t="s">
        <v>669</v>
      </c>
      <c r="B364" s="4" t="s">
        <v>225</v>
      </c>
      <c r="C364" s="4" t="s">
        <v>76</v>
      </c>
      <c r="D364" s="4" t="s">
        <v>24</v>
      </c>
      <c r="E364" s="4" t="s">
        <v>20</v>
      </c>
      <c r="F364" s="4" t="s">
        <v>21</v>
      </c>
      <c r="G364" s="4" t="s">
        <v>13</v>
      </c>
      <c r="H364" s="5">
        <v>9608.0</v>
      </c>
      <c r="I364" s="4" t="s">
        <v>37</v>
      </c>
    </row>
    <row r="365">
      <c r="A365" s="4" t="s">
        <v>670</v>
      </c>
      <c r="B365" s="4" t="s">
        <v>421</v>
      </c>
      <c r="C365" s="4" t="s">
        <v>76</v>
      </c>
      <c r="D365" s="4" t="s">
        <v>24</v>
      </c>
      <c r="E365" s="4" t="s">
        <v>58</v>
      </c>
      <c r="F365" s="4" t="s">
        <v>52</v>
      </c>
      <c r="G365" s="4" t="s">
        <v>11</v>
      </c>
      <c r="H365" s="5">
        <v>9317.0</v>
      </c>
      <c r="I365" s="4" t="s">
        <v>37</v>
      </c>
    </row>
    <row r="366">
      <c r="A366" s="4" t="s">
        <v>671</v>
      </c>
      <c r="B366" s="4" t="s">
        <v>233</v>
      </c>
      <c r="C366" s="4" t="s">
        <v>57</v>
      </c>
      <c r="D366" s="4" t="s">
        <v>19</v>
      </c>
      <c r="E366" s="4" t="s">
        <v>46</v>
      </c>
      <c r="F366" s="4" t="s">
        <v>52</v>
      </c>
      <c r="G366" s="4" t="s">
        <v>12</v>
      </c>
      <c r="H366" s="5">
        <v>12947.0</v>
      </c>
      <c r="I366" s="4" t="s">
        <v>47</v>
      </c>
    </row>
    <row r="367">
      <c r="A367" s="4" t="s">
        <v>672</v>
      </c>
      <c r="B367" s="4" t="s">
        <v>503</v>
      </c>
      <c r="C367" s="4" t="s">
        <v>45</v>
      </c>
      <c r="D367" s="4" t="s">
        <v>22</v>
      </c>
      <c r="E367" s="4" t="s">
        <v>20</v>
      </c>
      <c r="F367" s="4" t="s">
        <v>52</v>
      </c>
      <c r="G367" s="4" t="s">
        <v>12</v>
      </c>
      <c r="H367" s="5">
        <v>15134.0</v>
      </c>
      <c r="I367" s="4" t="s">
        <v>23</v>
      </c>
    </row>
    <row r="368">
      <c r="A368" s="4" t="s">
        <v>673</v>
      </c>
      <c r="B368" s="4" t="s">
        <v>398</v>
      </c>
      <c r="C368" s="4" t="s">
        <v>18</v>
      </c>
      <c r="D368" s="4" t="s">
        <v>16</v>
      </c>
      <c r="E368" s="4" t="s">
        <v>46</v>
      </c>
      <c r="F368" s="4" t="s">
        <v>52</v>
      </c>
      <c r="G368" s="4" t="s">
        <v>13</v>
      </c>
      <c r="H368" s="5">
        <v>15081.0</v>
      </c>
      <c r="I368" s="4"/>
    </row>
    <row r="369">
      <c r="A369" s="4" t="s">
        <v>674</v>
      </c>
      <c r="B369" s="4" t="s">
        <v>351</v>
      </c>
      <c r="C369" s="4" t="s">
        <v>57</v>
      </c>
      <c r="D369" s="4" t="s">
        <v>19</v>
      </c>
      <c r="E369" s="4" t="s">
        <v>20</v>
      </c>
      <c r="F369" s="4" t="s">
        <v>41</v>
      </c>
      <c r="G369" s="4" t="s">
        <v>12</v>
      </c>
      <c r="H369" s="5">
        <v>14418.0</v>
      </c>
      <c r="I369" s="4"/>
    </row>
    <row r="370">
      <c r="A370" s="4" t="s">
        <v>675</v>
      </c>
      <c r="B370" s="4" t="s">
        <v>111</v>
      </c>
      <c r="C370" s="4" t="s">
        <v>45</v>
      </c>
      <c r="D370" s="4" t="s">
        <v>22</v>
      </c>
      <c r="E370" s="4" t="s">
        <v>58</v>
      </c>
      <c r="F370" s="4" t="s">
        <v>52</v>
      </c>
      <c r="G370" s="4" t="s">
        <v>13</v>
      </c>
      <c r="H370" s="5">
        <v>18237.0</v>
      </c>
      <c r="I370" s="4" t="s">
        <v>37</v>
      </c>
    </row>
    <row r="371">
      <c r="A371" s="4" t="s">
        <v>676</v>
      </c>
      <c r="B371" s="4" t="s">
        <v>677</v>
      </c>
      <c r="C371" s="4" t="s">
        <v>18</v>
      </c>
      <c r="D371" s="4" t="s">
        <v>16</v>
      </c>
      <c r="E371" s="4" t="s">
        <v>46</v>
      </c>
      <c r="F371" s="4" t="s">
        <v>21</v>
      </c>
      <c r="G371" s="4" t="s">
        <v>13</v>
      </c>
      <c r="H371" s="5">
        <v>15435.0</v>
      </c>
      <c r="I371" s="4" t="s">
        <v>37</v>
      </c>
    </row>
    <row r="372">
      <c r="A372" s="4" t="s">
        <v>678</v>
      </c>
      <c r="B372" s="4" t="s">
        <v>679</v>
      </c>
      <c r="C372" s="4" t="s">
        <v>76</v>
      </c>
      <c r="D372" s="4" t="s">
        <v>24</v>
      </c>
      <c r="E372" s="4" t="s">
        <v>58</v>
      </c>
      <c r="F372" s="4" t="s">
        <v>41</v>
      </c>
      <c r="G372" s="4" t="s">
        <v>12</v>
      </c>
      <c r="H372" s="5">
        <v>8119.0</v>
      </c>
      <c r="I372" s="4"/>
    </row>
    <row r="373">
      <c r="A373" s="4" t="s">
        <v>680</v>
      </c>
      <c r="B373" s="4" t="s">
        <v>491</v>
      </c>
      <c r="C373" s="4" t="s">
        <v>76</v>
      </c>
      <c r="D373" s="4" t="s">
        <v>24</v>
      </c>
      <c r="E373" s="4" t="s">
        <v>58</v>
      </c>
      <c r="F373" s="4" t="s">
        <v>41</v>
      </c>
      <c r="G373" s="4" t="s">
        <v>12</v>
      </c>
      <c r="H373" s="5">
        <v>9399.0</v>
      </c>
      <c r="I373" s="4"/>
    </row>
    <row r="374">
      <c r="A374" s="4" t="s">
        <v>681</v>
      </c>
      <c r="B374" s="4" t="s">
        <v>622</v>
      </c>
      <c r="C374" s="4" t="s">
        <v>45</v>
      </c>
      <c r="D374" s="4" t="s">
        <v>22</v>
      </c>
      <c r="E374" s="4" t="s">
        <v>46</v>
      </c>
      <c r="F374" s="4" t="s">
        <v>52</v>
      </c>
      <c r="G374" s="4" t="s">
        <v>13</v>
      </c>
      <c r="H374" s="5">
        <v>15336.0</v>
      </c>
      <c r="I374" s="4" t="s">
        <v>47</v>
      </c>
    </row>
    <row r="375">
      <c r="A375" s="4" t="s">
        <v>682</v>
      </c>
      <c r="B375" s="4" t="s">
        <v>134</v>
      </c>
      <c r="C375" s="4" t="s">
        <v>57</v>
      </c>
      <c r="D375" s="4" t="s">
        <v>19</v>
      </c>
      <c r="E375" s="4" t="s">
        <v>20</v>
      </c>
      <c r="F375" s="4" t="s">
        <v>21</v>
      </c>
      <c r="G375" s="4" t="s">
        <v>11</v>
      </c>
      <c r="H375" s="5">
        <v>12477.0</v>
      </c>
      <c r="I375" s="4" t="s">
        <v>37</v>
      </c>
    </row>
    <row r="376">
      <c r="A376" s="4" t="s">
        <v>683</v>
      </c>
      <c r="B376" s="4" t="s">
        <v>684</v>
      </c>
      <c r="C376" s="4" t="s">
        <v>76</v>
      </c>
      <c r="D376" s="4" t="s">
        <v>24</v>
      </c>
      <c r="E376" s="4" t="s">
        <v>58</v>
      </c>
      <c r="F376" s="4" t="s">
        <v>21</v>
      </c>
      <c r="G376" s="4" t="s">
        <v>13</v>
      </c>
      <c r="H376" s="5">
        <v>7542.0</v>
      </c>
      <c r="I376" s="4" t="s">
        <v>37</v>
      </c>
    </row>
    <row r="377">
      <c r="A377" s="4" t="s">
        <v>685</v>
      </c>
      <c r="B377" s="4" t="s">
        <v>627</v>
      </c>
      <c r="C377" s="4" t="s">
        <v>76</v>
      </c>
      <c r="D377" s="4" t="s">
        <v>24</v>
      </c>
      <c r="E377" s="4" t="s">
        <v>46</v>
      </c>
      <c r="F377" s="4" t="s">
        <v>41</v>
      </c>
      <c r="G377" s="4" t="s">
        <v>13</v>
      </c>
      <c r="H377" s="5">
        <v>8449.0</v>
      </c>
      <c r="I377" s="4" t="s">
        <v>42</v>
      </c>
    </row>
    <row r="378">
      <c r="A378" s="4" t="s">
        <v>686</v>
      </c>
      <c r="B378" s="4" t="s">
        <v>248</v>
      </c>
      <c r="C378" s="4" t="s">
        <v>45</v>
      </c>
      <c r="D378" s="4" t="s">
        <v>22</v>
      </c>
      <c r="E378" s="4" t="s">
        <v>58</v>
      </c>
      <c r="F378" s="4" t="s">
        <v>41</v>
      </c>
      <c r="G378" s="4" t="s">
        <v>11</v>
      </c>
      <c r="H378" s="5">
        <v>16694.0</v>
      </c>
      <c r="I378" s="4"/>
    </row>
    <row r="379">
      <c r="A379" s="4" t="s">
        <v>687</v>
      </c>
      <c r="B379" s="4" t="s">
        <v>220</v>
      </c>
      <c r="C379" s="4" t="s">
        <v>57</v>
      </c>
      <c r="D379" s="4" t="s">
        <v>19</v>
      </c>
      <c r="E379" s="4" t="s">
        <v>20</v>
      </c>
      <c r="F379" s="4" t="s">
        <v>52</v>
      </c>
      <c r="G379" s="4" t="s">
        <v>13</v>
      </c>
      <c r="H379" s="5">
        <v>13807.0</v>
      </c>
      <c r="I379" s="4"/>
    </row>
    <row r="380">
      <c r="A380" s="4" t="s">
        <v>688</v>
      </c>
      <c r="B380" s="4" t="s">
        <v>331</v>
      </c>
      <c r="C380" s="4" t="s">
        <v>45</v>
      </c>
      <c r="D380" s="4" t="s">
        <v>22</v>
      </c>
      <c r="E380" s="4" t="s">
        <v>58</v>
      </c>
      <c r="F380" s="4" t="s">
        <v>21</v>
      </c>
      <c r="G380" s="4" t="s">
        <v>13</v>
      </c>
      <c r="H380" s="5">
        <v>15259.0</v>
      </c>
      <c r="I380" s="4" t="s">
        <v>23</v>
      </c>
    </row>
    <row r="381">
      <c r="A381" s="4" t="s">
        <v>689</v>
      </c>
      <c r="B381" s="4" t="s">
        <v>89</v>
      </c>
      <c r="C381" s="4" t="s">
        <v>45</v>
      </c>
      <c r="D381" s="4" t="s">
        <v>22</v>
      </c>
      <c r="E381" s="4" t="s">
        <v>58</v>
      </c>
      <c r="F381" s="4" t="s">
        <v>41</v>
      </c>
      <c r="G381" s="4" t="s">
        <v>11</v>
      </c>
      <c r="H381" s="5">
        <v>16030.0</v>
      </c>
      <c r="I381" s="4" t="s">
        <v>23</v>
      </c>
    </row>
    <row r="382">
      <c r="A382" s="4" t="s">
        <v>690</v>
      </c>
      <c r="B382" s="4" t="s">
        <v>691</v>
      </c>
      <c r="C382" s="4" t="s">
        <v>57</v>
      </c>
      <c r="D382" s="4" t="s">
        <v>19</v>
      </c>
      <c r="E382" s="4" t="s">
        <v>58</v>
      </c>
      <c r="F382" s="4" t="s">
        <v>41</v>
      </c>
      <c r="G382" s="4" t="s">
        <v>13</v>
      </c>
      <c r="H382" s="5">
        <v>12247.0</v>
      </c>
      <c r="I382" s="4" t="s">
        <v>37</v>
      </c>
    </row>
    <row r="383">
      <c r="A383" s="4" t="s">
        <v>692</v>
      </c>
      <c r="B383" s="4" t="s">
        <v>574</v>
      </c>
      <c r="C383" s="4" t="s">
        <v>76</v>
      </c>
      <c r="D383" s="4" t="s">
        <v>24</v>
      </c>
      <c r="E383" s="4" t="s">
        <v>58</v>
      </c>
      <c r="F383" s="4" t="s">
        <v>21</v>
      </c>
      <c r="G383" s="4" t="s">
        <v>11</v>
      </c>
      <c r="H383" s="5">
        <v>8763.0</v>
      </c>
      <c r="I383" s="4" t="s">
        <v>42</v>
      </c>
    </row>
    <row r="384">
      <c r="A384" s="4" t="s">
        <v>693</v>
      </c>
      <c r="B384" s="4" t="s">
        <v>170</v>
      </c>
      <c r="C384" s="4" t="s">
        <v>57</v>
      </c>
      <c r="D384" s="4" t="s">
        <v>19</v>
      </c>
      <c r="E384" s="4" t="s">
        <v>58</v>
      </c>
      <c r="F384" s="4" t="s">
        <v>21</v>
      </c>
      <c r="G384" s="4" t="s">
        <v>13</v>
      </c>
      <c r="H384" s="5">
        <v>14950.0</v>
      </c>
      <c r="I384" s="4"/>
    </row>
    <row r="385">
      <c r="A385" s="4" t="s">
        <v>694</v>
      </c>
      <c r="B385" s="4" t="s">
        <v>448</v>
      </c>
      <c r="C385" s="4" t="s">
        <v>76</v>
      </c>
      <c r="D385" s="4" t="s">
        <v>24</v>
      </c>
      <c r="E385" s="4" t="s">
        <v>20</v>
      </c>
      <c r="F385" s="4" t="s">
        <v>41</v>
      </c>
      <c r="G385" s="4" t="s">
        <v>11</v>
      </c>
      <c r="H385" s="5">
        <v>8540.0</v>
      </c>
      <c r="I385" s="4" t="s">
        <v>47</v>
      </c>
    </row>
    <row r="386">
      <c r="A386" s="4" t="s">
        <v>695</v>
      </c>
      <c r="B386" s="4" t="s">
        <v>229</v>
      </c>
      <c r="C386" s="4" t="s">
        <v>45</v>
      </c>
      <c r="D386" s="4" t="s">
        <v>22</v>
      </c>
      <c r="E386" s="4" t="s">
        <v>46</v>
      </c>
      <c r="F386" s="4" t="s">
        <v>52</v>
      </c>
      <c r="G386" s="4" t="s">
        <v>13</v>
      </c>
      <c r="H386" s="5">
        <v>17425.0</v>
      </c>
      <c r="I386" s="4" t="s">
        <v>42</v>
      </c>
    </row>
    <row r="387">
      <c r="A387" s="4" t="s">
        <v>696</v>
      </c>
      <c r="B387" s="4" t="s">
        <v>361</v>
      </c>
      <c r="C387" s="4" t="s">
        <v>18</v>
      </c>
      <c r="D387" s="4" t="s">
        <v>16</v>
      </c>
      <c r="E387" s="4" t="s">
        <v>20</v>
      </c>
      <c r="F387" s="4" t="s">
        <v>21</v>
      </c>
      <c r="G387" s="4" t="s">
        <v>12</v>
      </c>
      <c r="H387" s="5">
        <v>12858.0</v>
      </c>
      <c r="I387" s="4"/>
    </row>
    <row r="388">
      <c r="A388" s="4" t="s">
        <v>697</v>
      </c>
      <c r="B388" s="4" t="s">
        <v>182</v>
      </c>
      <c r="C388" s="4" t="s">
        <v>18</v>
      </c>
      <c r="D388" s="4" t="s">
        <v>16</v>
      </c>
      <c r="E388" s="4" t="s">
        <v>58</v>
      </c>
      <c r="F388" s="4" t="s">
        <v>52</v>
      </c>
      <c r="G388" s="4" t="s">
        <v>11</v>
      </c>
      <c r="H388" s="5">
        <v>12570.0</v>
      </c>
      <c r="I388" s="4" t="s">
        <v>47</v>
      </c>
    </row>
    <row r="389">
      <c r="A389" s="4" t="s">
        <v>698</v>
      </c>
      <c r="B389" s="4" t="s">
        <v>379</v>
      </c>
      <c r="C389" s="4" t="s">
        <v>57</v>
      </c>
      <c r="D389" s="4" t="s">
        <v>19</v>
      </c>
      <c r="E389" s="4" t="s">
        <v>20</v>
      </c>
      <c r="F389" s="4" t="s">
        <v>21</v>
      </c>
      <c r="G389" s="4" t="s">
        <v>11</v>
      </c>
      <c r="H389" s="5">
        <v>11302.0</v>
      </c>
      <c r="I389" s="4"/>
    </row>
    <row r="390">
      <c r="A390" s="4" t="s">
        <v>699</v>
      </c>
      <c r="B390" s="4" t="s">
        <v>700</v>
      </c>
      <c r="C390" s="4" t="s">
        <v>76</v>
      </c>
      <c r="D390" s="4" t="s">
        <v>24</v>
      </c>
      <c r="E390" s="4" t="s">
        <v>20</v>
      </c>
      <c r="F390" s="4" t="s">
        <v>52</v>
      </c>
      <c r="G390" s="4" t="s">
        <v>12</v>
      </c>
      <c r="H390" s="5">
        <v>8713.0</v>
      </c>
      <c r="I390" s="4" t="s">
        <v>42</v>
      </c>
    </row>
    <row r="391">
      <c r="A391" s="4" t="s">
        <v>701</v>
      </c>
      <c r="B391" s="4" t="s">
        <v>702</v>
      </c>
      <c r="C391" s="4" t="s">
        <v>18</v>
      </c>
      <c r="D391" s="4" t="s">
        <v>16</v>
      </c>
      <c r="E391" s="4" t="s">
        <v>46</v>
      </c>
      <c r="F391" s="4" t="s">
        <v>41</v>
      </c>
      <c r="G391" s="4" t="s">
        <v>12</v>
      </c>
      <c r="H391" s="5">
        <v>14722.0</v>
      </c>
      <c r="I391" s="4" t="s">
        <v>47</v>
      </c>
    </row>
    <row r="392">
      <c r="A392" s="4" t="s">
        <v>703</v>
      </c>
      <c r="B392" s="4" t="s">
        <v>207</v>
      </c>
      <c r="C392" s="4" t="s">
        <v>18</v>
      </c>
      <c r="D392" s="4" t="s">
        <v>16</v>
      </c>
      <c r="E392" s="4" t="s">
        <v>20</v>
      </c>
      <c r="F392" s="4" t="s">
        <v>52</v>
      </c>
      <c r="G392" s="4" t="s">
        <v>12</v>
      </c>
      <c r="H392" s="5">
        <v>14649.0</v>
      </c>
      <c r="I392" s="4"/>
    </row>
    <row r="393">
      <c r="A393" s="4" t="s">
        <v>704</v>
      </c>
      <c r="B393" s="4" t="s">
        <v>578</v>
      </c>
      <c r="C393" s="4" t="s">
        <v>76</v>
      </c>
      <c r="D393" s="4" t="s">
        <v>24</v>
      </c>
      <c r="E393" s="4" t="s">
        <v>46</v>
      </c>
      <c r="F393" s="4" t="s">
        <v>41</v>
      </c>
      <c r="G393" s="4" t="s">
        <v>13</v>
      </c>
      <c r="H393" s="5">
        <v>8059.0</v>
      </c>
      <c r="I393" s="4" t="s">
        <v>23</v>
      </c>
    </row>
    <row r="394">
      <c r="A394" s="4" t="s">
        <v>705</v>
      </c>
      <c r="B394" s="4" t="s">
        <v>136</v>
      </c>
      <c r="C394" s="4" t="s">
        <v>57</v>
      </c>
      <c r="D394" s="4" t="s">
        <v>19</v>
      </c>
      <c r="E394" s="4" t="s">
        <v>58</v>
      </c>
      <c r="F394" s="4" t="s">
        <v>21</v>
      </c>
      <c r="G394" s="4" t="s">
        <v>11</v>
      </c>
      <c r="H394" s="5">
        <v>12896.0</v>
      </c>
      <c r="I394" s="4" t="s">
        <v>42</v>
      </c>
    </row>
    <row r="395">
      <c r="A395" s="4" t="s">
        <v>706</v>
      </c>
      <c r="B395" s="4" t="s">
        <v>105</v>
      </c>
      <c r="C395" s="4" t="s">
        <v>45</v>
      </c>
      <c r="D395" s="4" t="s">
        <v>22</v>
      </c>
      <c r="E395" s="4" t="s">
        <v>46</v>
      </c>
      <c r="F395" s="4" t="s">
        <v>21</v>
      </c>
      <c r="G395" s="4" t="s">
        <v>13</v>
      </c>
      <c r="H395" s="5">
        <v>16210.0</v>
      </c>
      <c r="I395" s="4"/>
    </row>
    <row r="396">
      <c r="A396" s="4" t="s">
        <v>707</v>
      </c>
      <c r="B396" s="4" t="s">
        <v>102</v>
      </c>
      <c r="C396" s="4" t="s">
        <v>57</v>
      </c>
      <c r="D396" s="4" t="s">
        <v>19</v>
      </c>
      <c r="E396" s="4" t="s">
        <v>58</v>
      </c>
      <c r="F396" s="4" t="s">
        <v>21</v>
      </c>
      <c r="G396" s="4" t="s">
        <v>11</v>
      </c>
      <c r="H396" s="5">
        <v>12865.0</v>
      </c>
      <c r="I396" s="4" t="s">
        <v>23</v>
      </c>
    </row>
    <row r="397">
      <c r="A397" s="4" t="s">
        <v>708</v>
      </c>
      <c r="B397" s="4" t="s">
        <v>240</v>
      </c>
      <c r="C397" s="4" t="s">
        <v>76</v>
      </c>
      <c r="D397" s="4" t="s">
        <v>24</v>
      </c>
      <c r="E397" s="4" t="s">
        <v>46</v>
      </c>
      <c r="F397" s="4" t="s">
        <v>21</v>
      </c>
      <c r="G397" s="4" t="s">
        <v>12</v>
      </c>
      <c r="H397" s="5">
        <v>9853.0</v>
      </c>
      <c r="I397" s="4"/>
    </row>
    <row r="398">
      <c r="A398" s="4" t="s">
        <v>709</v>
      </c>
      <c r="B398" s="4" t="s">
        <v>351</v>
      </c>
      <c r="C398" s="4" t="s">
        <v>18</v>
      </c>
      <c r="D398" s="4" t="s">
        <v>16</v>
      </c>
      <c r="E398" s="4" t="s">
        <v>20</v>
      </c>
      <c r="F398" s="4" t="s">
        <v>41</v>
      </c>
      <c r="G398" s="4" t="s">
        <v>13</v>
      </c>
      <c r="H398" s="5">
        <v>15478.0</v>
      </c>
      <c r="I398" s="4" t="s">
        <v>47</v>
      </c>
    </row>
    <row r="399">
      <c r="A399" s="4" t="s">
        <v>710</v>
      </c>
      <c r="B399" s="4" t="s">
        <v>36</v>
      </c>
      <c r="C399" s="4" t="s">
        <v>57</v>
      </c>
      <c r="D399" s="4" t="s">
        <v>19</v>
      </c>
      <c r="E399" s="4" t="s">
        <v>20</v>
      </c>
      <c r="F399" s="4" t="s">
        <v>41</v>
      </c>
      <c r="G399" s="4" t="s">
        <v>12</v>
      </c>
      <c r="H399" s="5">
        <v>11714.0</v>
      </c>
      <c r="I399" s="4" t="s">
        <v>42</v>
      </c>
    </row>
    <row r="400">
      <c r="A400" s="4" t="s">
        <v>711</v>
      </c>
      <c r="B400" s="4" t="s">
        <v>396</v>
      </c>
      <c r="C400" s="4" t="s">
        <v>76</v>
      </c>
      <c r="D400" s="4" t="s">
        <v>24</v>
      </c>
      <c r="E400" s="4" t="s">
        <v>58</v>
      </c>
      <c r="F400" s="4" t="s">
        <v>41</v>
      </c>
      <c r="G400" s="4" t="s">
        <v>11</v>
      </c>
      <c r="H400" s="5">
        <v>9579.0</v>
      </c>
      <c r="I400" s="4" t="s">
        <v>23</v>
      </c>
    </row>
    <row r="401">
      <c r="A401" s="4" t="s">
        <v>712</v>
      </c>
      <c r="B401" s="4" t="s">
        <v>122</v>
      </c>
      <c r="C401" s="4" t="s">
        <v>76</v>
      </c>
      <c r="D401" s="4" t="s">
        <v>24</v>
      </c>
      <c r="E401" s="4" t="s">
        <v>58</v>
      </c>
      <c r="F401" s="4" t="s">
        <v>41</v>
      </c>
      <c r="G401" s="4" t="s">
        <v>12</v>
      </c>
      <c r="H401" s="5">
        <v>9515.0</v>
      </c>
      <c r="I401" s="4" t="s">
        <v>23</v>
      </c>
    </row>
    <row r="402">
      <c r="A402" s="4" t="s">
        <v>713</v>
      </c>
      <c r="B402" s="4" t="s">
        <v>434</v>
      </c>
      <c r="C402" s="4" t="s">
        <v>76</v>
      </c>
      <c r="D402" s="4" t="s">
        <v>24</v>
      </c>
      <c r="E402" s="4" t="s">
        <v>46</v>
      </c>
      <c r="F402" s="4" t="s">
        <v>52</v>
      </c>
      <c r="G402" s="4" t="s">
        <v>13</v>
      </c>
      <c r="H402" s="5">
        <v>7842.0</v>
      </c>
      <c r="I402" s="4" t="s">
        <v>47</v>
      </c>
    </row>
    <row r="403">
      <c r="A403" s="4" t="s">
        <v>714</v>
      </c>
      <c r="B403" s="4" t="s">
        <v>368</v>
      </c>
      <c r="C403" s="4" t="s">
        <v>18</v>
      </c>
      <c r="D403" s="4" t="s">
        <v>16</v>
      </c>
      <c r="E403" s="4" t="s">
        <v>20</v>
      </c>
      <c r="F403" s="4" t="s">
        <v>41</v>
      </c>
      <c r="G403" s="4" t="s">
        <v>12</v>
      </c>
      <c r="H403" s="5">
        <v>12765.0</v>
      </c>
      <c r="I403" s="4" t="s">
        <v>47</v>
      </c>
    </row>
    <row r="404">
      <c r="A404" s="4" t="s">
        <v>715</v>
      </c>
      <c r="B404" s="4" t="s">
        <v>44</v>
      </c>
      <c r="C404" s="4" t="s">
        <v>18</v>
      </c>
      <c r="D404" s="4" t="s">
        <v>16</v>
      </c>
      <c r="E404" s="4" t="s">
        <v>58</v>
      </c>
      <c r="F404" s="4" t="s">
        <v>52</v>
      </c>
      <c r="G404" s="4" t="s">
        <v>11</v>
      </c>
      <c r="H404" s="5">
        <v>14161.0</v>
      </c>
      <c r="I404" s="4" t="s">
        <v>47</v>
      </c>
    </row>
    <row r="405">
      <c r="A405" s="4" t="s">
        <v>716</v>
      </c>
      <c r="B405" s="4" t="s">
        <v>717</v>
      </c>
      <c r="C405" s="4" t="s">
        <v>76</v>
      </c>
      <c r="D405" s="4" t="s">
        <v>24</v>
      </c>
      <c r="E405" s="4" t="s">
        <v>20</v>
      </c>
      <c r="F405" s="4" t="s">
        <v>41</v>
      </c>
      <c r="G405" s="4" t="s">
        <v>11</v>
      </c>
      <c r="H405" s="5">
        <v>8441.0</v>
      </c>
      <c r="I405" s="4"/>
    </row>
    <row r="406">
      <c r="A406" s="4" t="s">
        <v>718</v>
      </c>
      <c r="B406" s="4" t="s">
        <v>719</v>
      </c>
      <c r="C406" s="4" t="s">
        <v>45</v>
      </c>
      <c r="D406" s="4" t="s">
        <v>22</v>
      </c>
      <c r="E406" s="4" t="s">
        <v>20</v>
      </c>
      <c r="F406" s="4" t="s">
        <v>52</v>
      </c>
      <c r="G406" s="4" t="s">
        <v>13</v>
      </c>
      <c r="H406" s="5">
        <v>17752.0</v>
      </c>
      <c r="I406" s="4" t="s">
        <v>23</v>
      </c>
    </row>
    <row r="407">
      <c r="A407" s="4" t="s">
        <v>720</v>
      </c>
      <c r="B407" s="4" t="s">
        <v>310</v>
      </c>
      <c r="C407" s="4" t="s">
        <v>45</v>
      </c>
      <c r="D407" s="4" t="s">
        <v>22</v>
      </c>
      <c r="E407" s="4" t="s">
        <v>46</v>
      </c>
      <c r="F407" s="4" t="s">
        <v>41</v>
      </c>
      <c r="G407" s="4" t="s">
        <v>11</v>
      </c>
      <c r="H407" s="5">
        <v>17840.0</v>
      </c>
      <c r="I407" s="4" t="s">
        <v>23</v>
      </c>
    </row>
    <row r="408">
      <c r="A408" s="4" t="s">
        <v>721</v>
      </c>
      <c r="B408" s="4" t="s">
        <v>225</v>
      </c>
      <c r="C408" s="4" t="s">
        <v>57</v>
      </c>
      <c r="D408" s="4" t="s">
        <v>19</v>
      </c>
      <c r="E408" s="4" t="s">
        <v>20</v>
      </c>
      <c r="F408" s="4" t="s">
        <v>21</v>
      </c>
      <c r="G408" s="4" t="s">
        <v>11</v>
      </c>
      <c r="H408" s="5">
        <v>11760.0</v>
      </c>
      <c r="I408" s="4"/>
    </row>
    <row r="409">
      <c r="A409" s="4" t="s">
        <v>722</v>
      </c>
      <c r="B409" s="4" t="s">
        <v>648</v>
      </c>
      <c r="C409" s="4" t="s">
        <v>57</v>
      </c>
      <c r="D409" s="4" t="s">
        <v>19</v>
      </c>
      <c r="E409" s="4" t="s">
        <v>20</v>
      </c>
      <c r="F409" s="4" t="s">
        <v>41</v>
      </c>
      <c r="G409" s="4" t="s">
        <v>11</v>
      </c>
      <c r="H409" s="5">
        <v>12183.0</v>
      </c>
      <c r="I409" s="4" t="s">
        <v>23</v>
      </c>
    </row>
    <row r="410">
      <c r="A410" s="4" t="s">
        <v>723</v>
      </c>
      <c r="B410" s="4" t="s">
        <v>724</v>
      </c>
      <c r="C410" s="4" t="s">
        <v>76</v>
      </c>
      <c r="D410" s="4" t="s">
        <v>24</v>
      </c>
      <c r="E410" s="4" t="s">
        <v>20</v>
      </c>
      <c r="F410" s="4" t="s">
        <v>41</v>
      </c>
      <c r="G410" s="4" t="s">
        <v>11</v>
      </c>
      <c r="H410" s="5">
        <v>10898.0</v>
      </c>
      <c r="I410" s="4" t="s">
        <v>37</v>
      </c>
    </row>
    <row r="411">
      <c r="A411" s="4" t="s">
        <v>725</v>
      </c>
      <c r="B411" s="4" t="s">
        <v>49</v>
      </c>
      <c r="C411" s="4" t="s">
        <v>76</v>
      </c>
      <c r="D411" s="4" t="s">
        <v>24</v>
      </c>
      <c r="E411" s="4" t="s">
        <v>20</v>
      </c>
      <c r="F411" s="4" t="s">
        <v>52</v>
      </c>
      <c r="G411" s="4" t="s">
        <v>12</v>
      </c>
      <c r="H411" s="5">
        <v>9027.0</v>
      </c>
      <c r="I411" s="4"/>
    </row>
    <row r="412">
      <c r="A412" s="4" t="s">
        <v>726</v>
      </c>
      <c r="B412" s="4" t="s">
        <v>64</v>
      </c>
      <c r="C412" s="4" t="s">
        <v>76</v>
      </c>
      <c r="D412" s="4" t="s">
        <v>24</v>
      </c>
      <c r="E412" s="4" t="s">
        <v>58</v>
      </c>
      <c r="F412" s="4" t="s">
        <v>41</v>
      </c>
      <c r="G412" s="4" t="s">
        <v>13</v>
      </c>
      <c r="H412" s="5">
        <v>9315.0</v>
      </c>
      <c r="I412" s="4" t="s">
        <v>37</v>
      </c>
    </row>
    <row r="413">
      <c r="A413" s="4" t="s">
        <v>727</v>
      </c>
      <c r="B413" s="4" t="s">
        <v>388</v>
      </c>
      <c r="C413" s="4" t="s">
        <v>45</v>
      </c>
      <c r="D413" s="4" t="s">
        <v>22</v>
      </c>
      <c r="E413" s="4" t="s">
        <v>46</v>
      </c>
      <c r="F413" s="4" t="s">
        <v>21</v>
      </c>
      <c r="G413" s="4" t="s">
        <v>13</v>
      </c>
      <c r="H413" s="5">
        <v>17202.0</v>
      </c>
      <c r="I413" s="4" t="s">
        <v>47</v>
      </c>
    </row>
    <row r="414">
      <c r="A414" s="4" t="s">
        <v>728</v>
      </c>
      <c r="B414" s="4" t="s">
        <v>392</v>
      </c>
      <c r="C414" s="4" t="s">
        <v>76</v>
      </c>
      <c r="D414" s="4" t="s">
        <v>24</v>
      </c>
      <c r="E414" s="4" t="s">
        <v>20</v>
      </c>
      <c r="F414" s="4" t="s">
        <v>52</v>
      </c>
      <c r="G414" s="4" t="s">
        <v>13</v>
      </c>
      <c r="H414" s="5">
        <v>9345.0</v>
      </c>
      <c r="I414" s="4" t="s">
        <v>37</v>
      </c>
    </row>
    <row r="415">
      <c r="A415" s="4" t="s">
        <v>729</v>
      </c>
      <c r="B415" s="4" t="s">
        <v>172</v>
      </c>
      <c r="C415" s="4" t="s">
        <v>45</v>
      </c>
      <c r="D415" s="4" t="s">
        <v>22</v>
      </c>
      <c r="E415" s="4" t="s">
        <v>20</v>
      </c>
      <c r="F415" s="4" t="s">
        <v>41</v>
      </c>
      <c r="G415" s="4" t="s">
        <v>12</v>
      </c>
      <c r="H415" s="5">
        <v>16807.0</v>
      </c>
      <c r="I415" s="4" t="s">
        <v>42</v>
      </c>
    </row>
    <row r="416">
      <c r="A416" s="4" t="s">
        <v>730</v>
      </c>
      <c r="B416" s="4" t="s">
        <v>54</v>
      </c>
      <c r="C416" s="4" t="s">
        <v>57</v>
      </c>
      <c r="D416" s="4" t="s">
        <v>19</v>
      </c>
      <c r="E416" s="4" t="s">
        <v>58</v>
      </c>
      <c r="F416" s="4" t="s">
        <v>41</v>
      </c>
      <c r="G416" s="4" t="s">
        <v>11</v>
      </c>
      <c r="H416" s="5">
        <v>12076.0</v>
      </c>
      <c r="I416" s="4" t="s">
        <v>47</v>
      </c>
    </row>
    <row r="417">
      <c r="A417" s="4" t="s">
        <v>731</v>
      </c>
      <c r="B417" s="4" t="s">
        <v>127</v>
      </c>
      <c r="C417" s="4" t="s">
        <v>76</v>
      </c>
      <c r="D417" s="4" t="s">
        <v>24</v>
      </c>
      <c r="E417" s="4" t="s">
        <v>46</v>
      </c>
      <c r="F417" s="4" t="s">
        <v>41</v>
      </c>
      <c r="G417" s="4" t="s">
        <v>13</v>
      </c>
      <c r="H417" s="5">
        <v>10320.0</v>
      </c>
      <c r="I417" s="4" t="s">
        <v>42</v>
      </c>
    </row>
    <row r="418">
      <c r="A418" s="4" t="s">
        <v>732</v>
      </c>
      <c r="B418" s="4" t="s">
        <v>724</v>
      </c>
      <c r="C418" s="4" t="s">
        <v>76</v>
      </c>
      <c r="D418" s="4" t="s">
        <v>24</v>
      </c>
      <c r="E418" s="4" t="s">
        <v>46</v>
      </c>
      <c r="F418" s="4" t="s">
        <v>52</v>
      </c>
      <c r="G418" s="4" t="s">
        <v>13</v>
      </c>
      <c r="H418" s="5">
        <v>10214.0</v>
      </c>
      <c r="I418" s="4" t="s">
        <v>23</v>
      </c>
    </row>
    <row r="419">
      <c r="A419" s="4" t="s">
        <v>733</v>
      </c>
      <c r="B419" s="4" t="s">
        <v>501</v>
      </c>
      <c r="C419" s="4" t="s">
        <v>18</v>
      </c>
      <c r="D419" s="4" t="s">
        <v>16</v>
      </c>
      <c r="E419" s="4" t="s">
        <v>20</v>
      </c>
      <c r="F419" s="4" t="s">
        <v>21</v>
      </c>
      <c r="G419" s="4" t="s">
        <v>12</v>
      </c>
      <c r="H419" s="5">
        <v>13151.0</v>
      </c>
      <c r="I419" s="4" t="s">
        <v>42</v>
      </c>
    </row>
    <row r="420">
      <c r="A420" s="4" t="s">
        <v>734</v>
      </c>
      <c r="B420" s="4" t="s">
        <v>98</v>
      </c>
      <c r="C420" s="4" t="s">
        <v>45</v>
      </c>
      <c r="D420" s="4" t="s">
        <v>22</v>
      </c>
      <c r="E420" s="4" t="s">
        <v>58</v>
      </c>
      <c r="F420" s="4" t="s">
        <v>52</v>
      </c>
      <c r="G420" s="4" t="s">
        <v>11</v>
      </c>
      <c r="H420" s="5">
        <v>18901.0</v>
      </c>
      <c r="I420" s="4" t="s">
        <v>42</v>
      </c>
    </row>
    <row r="421">
      <c r="A421" s="4" t="s">
        <v>735</v>
      </c>
      <c r="B421" s="4" t="s">
        <v>257</v>
      </c>
      <c r="C421" s="4" t="s">
        <v>18</v>
      </c>
      <c r="D421" s="4" t="s">
        <v>16</v>
      </c>
      <c r="E421" s="4" t="s">
        <v>46</v>
      </c>
      <c r="F421" s="4" t="s">
        <v>21</v>
      </c>
      <c r="G421" s="4" t="s">
        <v>13</v>
      </c>
      <c r="H421" s="5">
        <v>13135.0</v>
      </c>
      <c r="I421" s="4" t="s">
        <v>23</v>
      </c>
    </row>
    <row r="422">
      <c r="A422" s="4" t="s">
        <v>736</v>
      </c>
      <c r="B422" s="4" t="s">
        <v>512</v>
      </c>
      <c r="C422" s="4" t="s">
        <v>57</v>
      </c>
      <c r="D422" s="4" t="s">
        <v>19</v>
      </c>
      <c r="E422" s="4" t="s">
        <v>46</v>
      </c>
      <c r="F422" s="4" t="s">
        <v>52</v>
      </c>
      <c r="G422" s="4" t="s">
        <v>11</v>
      </c>
      <c r="H422" s="5">
        <v>14393.0</v>
      </c>
      <c r="I422" s="4" t="s">
        <v>23</v>
      </c>
    </row>
    <row r="423">
      <c r="A423" s="4" t="s">
        <v>737</v>
      </c>
      <c r="B423" s="4" t="s">
        <v>251</v>
      </c>
      <c r="C423" s="4" t="s">
        <v>76</v>
      </c>
      <c r="D423" s="4" t="s">
        <v>24</v>
      </c>
      <c r="E423" s="4" t="s">
        <v>58</v>
      </c>
      <c r="F423" s="4" t="s">
        <v>41</v>
      </c>
      <c r="G423" s="4" t="s">
        <v>12</v>
      </c>
      <c r="H423" s="5">
        <v>9590.0</v>
      </c>
      <c r="I423" s="4" t="s">
        <v>47</v>
      </c>
    </row>
    <row r="424">
      <c r="A424" s="4" t="s">
        <v>738</v>
      </c>
      <c r="B424" s="4" t="s">
        <v>225</v>
      </c>
      <c r="C424" s="4" t="s">
        <v>76</v>
      </c>
      <c r="D424" s="4" t="s">
        <v>24</v>
      </c>
      <c r="E424" s="4" t="s">
        <v>46</v>
      </c>
      <c r="F424" s="4" t="s">
        <v>52</v>
      </c>
      <c r="G424" s="4" t="s">
        <v>13</v>
      </c>
      <c r="H424" s="5">
        <v>8650.0</v>
      </c>
      <c r="I424" s="4" t="s">
        <v>42</v>
      </c>
    </row>
    <row r="425">
      <c r="A425" s="4" t="s">
        <v>739</v>
      </c>
      <c r="B425" s="4" t="s">
        <v>448</v>
      </c>
      <c r="C425" s="4" t="s">
        <v>45</v>
      </c>
      <c r="D425" s="4" t="s">
        <v>22</v>
      </c>
      <c r="E425" s="4" t="s">
        <v>58</v>
      </c>
      <c r="F425" s="4" t="s">
        <v>21</v>
      </c>
      <c r="G425" s="4" t="s">
        <v>11</v>
      </c>
      <c r="H425" s="5">
        <v>17383.0</v>
      </c>
      <c r="I425" s="4" t="s">
        <v>37</v>
      </c>
    </row>
    <row r="426">
      <c r="A426" s="4" t="s">
        <v>740</v>
      </c>
      <c r="B426" s="4" t="s">
        <v>180</v>
      </c>
      <c r="C426" s="4" t="s">
        <v>18</v>
      </c>
      <c r="D426" s="4" t="s">
        <v>16</v>
      </c>
      <c r="E426" s="4" t="s">
        <v>20</v>
      </c>
      <c r="F426" s="4" t="s">
        <v>21</v>
      </c>
      <c r="G426" s="4" t="s">
        <v>12</v>
      </c>
      <c r="H426" s="5">
        <v>14720.0</v>
      </c>
      <c r="I426" s="4" t="s">
        <v>47</v>
      </c>
    </row>
    <row r="427">
      <c r="A427" s="4" t="s">
        <v>741</v>
      </c>
      <c r="B427" s="4" t="s">
        <v>253</v>
      </c>
      <c r="C427" s="4" t="s">
        <v>76</v>
      </c>
      <c r="D427" s="4" t="s">
        <v>24</v>
      </c>
      <c r="E427" s="4" t="s">
        <v>46</v>
      </c>
      <c r="F427" s="4" t="s">
        <v>21</v>
      </c>
      <c r="G427" s="4" t="s">
        <v>13</v>
      </c>
      <c r="H427" s="5">
        <v>9026.0</v>
      </c>
      <c r="I427" s="4" t="s">
        <v>47</v>
      </c>
    </row>
    <row r="428">
      <c r="A428" s="4" t="s">
        <v>742</v>
      </c>
      <c r="B428" s="4" t="s">
        <v>743</v>
      </c>
      <c r="C428" s="4" t="s">
        <v>45</v>
      </c>
      <c r="D428" s="4" t="s">
        <v>22</v>
      </c>
      <c r="E428" s="4" t="s">
        <v>20</v>
      </c>
      <c r="F428" s="4" t="s">
        <v>52</v>
      </c>
      <c r="G428" s="4" t="s">
        <v>13</v>
      </c>
      <c r="H428" s="5">
        <v>17318.0</v>
      </c>
      <c r="I428" s="4"/>
    </row>
    <row r="429">
      <c r="A429" s="4" t="s">
        <v>744</v>
      </c>
      <c r="B429" s="4" t="s">
        <v>192</v>
      </c>
      <c r="C429" s="4" t="s">
        <v>18</v>
      </c>
      <c r="D429" s="4" t="s">
        <v>16</v>
      </c>
      <c r="E429" s="4" t="s">
        <v>46</v>
      </c>
      <c r="F429" s="4" t="s">
        <v>41</v>
      </c>
      <c r="G429" s="4" t="s">
        <v>12</v>
      </c>
      <c r="H429" s="5">
        <v>15210.0</v>
      </c>
      <c r="I429" s="4"/>
    </row>
    <row r="430">
      <c r="A430" s="4" t="s">
        <v>745</v>
      </c>
      <c r="B430" s="4" t="s">
        <v>202</v>
      </c>
      <c r="C430" s="4" t="s">
        <v>57</v>
      </c>
      <c r="D430" s="4" t="s">
        <v>19</v>
      </c>
      <c r="E430" s="4" t="s">
        <v>58</v>
      </c>
      <c r="F430" s="4" t="s">
        <v>21</v>
      </c>
      <c r="G430" s="4" t="s">
        <v>13</v>
      </c>
      <c r="H430" s="5">
        <v>14924.0</v>
      </c>
      <c r="I430" s="4"/>
    </row>
    <row r="431">
      <c r="A431" s="4" t="s">
        <v>746</v>
      </c>
      <c r="B431" s="4" t="s">
        <v>195</v>
      </c>
      <c r="C431" s="4" t="s">
        <v>45</v>
      </c>
      <c r="D431" s="4" t="s">
        <v>22</v>
      </c>
      <c r="E431" s="4" t="s">
        <v>46</v>
      </c>
      <c r="F431" s="4" t="s">
        <v>21</v>
      </c>
      <c r="G431" s="4" t="s">
        <v>13</v>
      </c>
      <c r="H431" s="5">
        <v>17681.0</v>
      </c>
      <c r="I431" s="4" t="s">
        <v>47</v>
      </c>
    </row>
    <row r="432">
      <c r="A432" s="4" t="s">
        <v>747</v>
      </c>
      <c r="B432" s="4" t="s">
        <v>532</v>
      </c>
      <c r="C432" s="4" t="s">
        <v>57</v>
      </c>
      <c r="D432" s="4" t="s">
        <v>19</v>
      </c>
      <c r="E432" s="4" t="s">
        <v>46</v>
      </c>
      <c r="F432" s="4" t="s">
        <v>21</v>
      </c>
      <c r="G432" s="4" t="s">
        <v>12</v>
      </c>
      <c r="H432" s="5">
        <v>12251.0</v>
      </c>
      <c r="I432" s="4" t="s">
        <v>23</v>
      </c>
    </row>
    <row r="433">
      <c r="A433" s="4" t="s">
        <v>748</v>
      </c>
      <c r="B433" s="4" t="s">
        <v>17</v>
      </c>
      <c r="C433" s="4" t="s">
        <v>18</v>
      </c>
      <c r="D433" s="4" t="s">
        <v>16</v>
      </c>
      <c r="E433" s="4" t="s">
        <v>46</v>
      </c>
      <c r="F433" s="4" t="s">
        <v>41</v>
      </c>
      <c r="G433" s="4" t="s">
        <v>11</v>
      </c>
      <c r="H433" s="5">
        <v>12319.0</v>
      </c>
      <c r="I433" s="4" t="s">
        <v>23</v>
      </c>
    </row>
    <row r="434">
      <c r="A434" s="4" t="s">
        <v>749</v>
      </c>
      <c r="B434" s="4" t="s">
        <v>40</v>
      </c>
      <c r="C434" s="4" t="s">
        <v>76</v>
      </c>
      <c r="D434" s="4" t="s">
        <v>24</v>
      </c>
      <c r="E434" s="4" t="s">
        <v>46</v>
      </c>
      <c r="F434" s="4" t="s">
        <v>41</v>
      </c>
      <c r="G434" s="4" t="s">
        <v>12</v>
      </c>
      <c r="H434" s="5">
        <v>8407.0</v>
      </c>
      <c r="I434" s="4" t="s">
        <v>37</v>
      </c>
    </row>
    <row r="435">
      <c r="A435" s="4" t="s">
        <v>750</v>
      </c>
      <c r="B435" s="4" t="s">
        <v>134</v>
      </c>
      <c r="C435" s="4" t="s">
        <v>57</v>
      </c>
      <c r="D435" s="4" t="s">
        <v>19</v>
      </c>
      <c r="E435" s="4" t="s">
        <v>58</v>
      </c>
      <c r="F435" s="4" t="s">
        <v>41</v>
      </c>
      <c r="G435" s="4" t="s">
        <v>13</v>
      </c>
      <c r="H435" s="5">
        <v>12569.0</v>
      </c>
      <c r="I435" s="4" t="s">
        <v>37</v>
      </c>
    </row>
    <row r="436">
      <c r="A436" s="4" t="s">
        <v>751</v>
      </c>
      <c r="B436" s="4" t="s">
        <v>752</v>
      </c>
      <c r="C436" s="4" t="s">
        <v>18</v>
      </c>
      <c r="D436" s="4" t="s">
        <v>16</v>
      </c>
      <c r="E436" s="4" t="s">
        <v>58</v>
      </c>
      <c r="F436" s="4" t="s">
        <v>21</v>
      </c>
      <c r="G436" s="4" t="s">
        <v>11</v>
      </c>
      <c r="H436" s="5">
        <v>12561.0</v>
      </c>
      <c r="I436" s="4"/>
    </row>
    <row r="437">
      <c r="A437" s="4" t="s">
        <v>753</v>
      </c>
      <c r="B437" s="4" t="s">
        <v>493</v>
      </c>
      <c r="C437" s="4" t="s">
        <v>57</v>
      </c>
      <c r="D437" s="4" t="s">
        <v>19</v>
      </c>
      <c r="E437" s="4" t="s">
        <v>20</v>
      </c>
      <c r="F437" s="4" t="s">
        <v>52</v>
      </c>
      <c r="G437" s="4" t="s">
        <v>13</v>
      </c>
      <c r="H437" s="5">
        <v>11280.0</v>
      </c>
      <c r="I437" s="4" t="s">
        <v>42</v>
      </c>
    </row>
    <row r="438">
      <c r="A438" s="4" t="s">
        <v>754</v>
      </c>
      <c r="B438" s="4" t="s">
        <v>143</v>
      </c>
      <c r="C438" s="4" t="s">
        <v>57</v>
      </c>
      <c r="D438" s="4" t="s">
        <v>19</v>
      </c>
      <c r="E438" s="4" t="s">
        <v>58</v>
      </c>
      <c r="F438" s="4" t="s">
        <v>21</v>
      </c>
      <c r="G438" s="4" t="s">
        <v>12</v>
      </c>
      <c r="H438" s="5">
        <v>11872.0</v>
      </c>
      <c r="I438" s="4" t="s">
        <v>23</v>
      </c>
    </row>
    <row r="439">
      <c r="A439" s="4" t="s">
        <v>755</v>
      </c>
      <c r="B439" s="4" t="s">
        <v>717</v>
      </c>
      <c r="C439" s="4" t="s">
        <v>76</v>
      </c>
      <c r="D439" s="4" t="s">
        <v>24</v>
      </c>
      <c r="E439" s="4" t="s">
        <v>46</v>
      </c>
      <c r="F439" s="4" t="s">
        <v>41</v>
      </c>
      <c r="G439" s="4" t="s">
        <v>13</v>
      </c>
      <c r="H439" s="5">
        <v>7573.0</v>
      </c>
      <c r="I439" s="4" t="s">
        <v>37</v>
      </c>
    </row>
    <row r="440">
      <c r="A440" s="4" t="s">
        <v>756</v>
      </c>
      <c r="B440" s="4" t="s">
        <v>166</v>
      </c>
      <c r="C440" s="4" t="s">
        <v>45</v>
      </c>
      <c r="D440" s="4" t="s">
        <v>22</v>
      </c>
      <c r="E440" s="4" t="s">
        <v>58</v>
      </c>
      <c r="F440" s="4" t="s">
        <v>21</v>
      </c>
      <c r="G440" s="4" t="s">
        <v>13</v>
      </c>
      <c r="H440" s="5">
        <v>16014.0</v>
      </c>
      <c r="I440" s="4" t="s">
        <v>47</v>
      </c>
    </row>
    <row r="441">
      <c r="A441" s="4" t="s">
        <v>757</v>
      </c>
      <c r="B441" s="4" t="s">
        <v>310</v>
      </c>
      <c r="C441" s="4" t="s">
        <v>45</v>
      </c>
      <c r="D441" s="4" t="s">
        <v>22</v>
      </c>
      <c r="E441" s="4" t="s">
        <v>20</v>
      </c>
      <c r="F441" s="4" t="s">
        <v>41</v>
      </c>
      <c r="G441" s="4" t="s">
        <v>12</v>
      </c>
      <c r="H441" s="5">
        <v>18587.0</v>
      </c>
      <c r="I441" s="4" t="s">
        <v>47</v>
      </c>
    </row>
    <row r="442">
      <c r="A442" s="4" t="s">
        <v>758</v>
      </c>
      <c r="B442" s="4" t="s">
        <v>482</v>
      </c>
      <c r="C442" s="4" t="s">
        <v>57</v>
      </c>
      <c r="D442" s="4" t="s">
        <v>19</v>
      </c>
      <c r="E442" s="4" t="s">
        <v>20</v>
      </c>
      <c r="F442" s="4" t="s">
        <v>21</v>
      </c>
      <c r="G442" s="4" t="s">
        <v>11</v>
      </c>
      <c r="H442" s="5">
        <v>13646.0</v>
      </c>
      <c r="I442" s="4" t="s">
        <v>37</v>
      </c>
    </row>
    <row r="443">
      <c r="A443" s="4" t="s">
        <v>759</v>
      </c>
      <c r="B443" s="4" t="s">
        <v>189</v>
      </c>
      <c r="C443" s="4" t="s">
        <v>57</v>
      </c>
      <c r="D443" s="4" t="s">
        <v>19</v>
      </c>
      <c r="E443" s="4" t="s">
        <v>58</v>
      </c>
      <c r="F443" s="4" t="s">
        <v>21</v>
      </c>
      <c r="G443" s="4" t="s">
        <v>13</v>
      </c>
      <c r="H443" s="5">
        <v>11987.0</v>
      </c>
      <c r="I443" s="4"/>
    </row>
    <row r="444">
      <c r="A444" s="4" t="s">
        <v>760</v>
      </c>
      <c r="B444" s="4" t="s">
        <v>141</v>
      </c>
      <c r="C444" s="4" t="s">
        <v>18</v>
      </c>
      <c r="D444" s="4" t="s">
        <v>16</v>
      </c>
      <c r="E444" s="4" t="s">
        <v>58</v>
      </c>
      <c r="F444" s="4" t="s">
        <v>21</v>
      </c>
      <c r="G444" s="4" t="s">
        <v>13</v>
      </c>
      <c r="H444" s="5">
        <v>13584.0</v>
      </c>
      <c r="I444" s="4" t="s">
        <v>42</v>
      </c>
    </row>
    <row r="445">
      <c r="A445" s="4" t="s">
        <v>761</v>
      </c>
      <c r="B445" s="4" t="s">
        <v>396</v>
      </c>
      <c r="C445" s="4" t="s">
        <v>57</v>
      </c>
      <c r="D445" s="4" t="s">
        <v>19</v>
      </c>
      <c r="E445" s="4" t="s">
        <v>58</v>
      </c>
      <c r="F445" s="4" t="s">
        <v>41</v>
      </c>
      <c r="G445" s="4" t="s">
        <v>13</v>
      </c>
      <c r="H445" s="5">
        <v>13405.0</v>
      </c>
      <c r="I445" s="4" t="s">
        <v>37</v>
      </c>
    </row>
    <row r="446">
      <c r="A446" s="4" t="s">
        <v>762</v>
      </c>
      <c r="B446" s="4" t="s">
        <v>382</v>
      </c>
      <c r="C446" s="4" t="s">
        <v>18</v>
      </c>
      <c r="D446" s="4" t="s">
        <v>16</v>
      </c>
      <c r="E446" s="4" t="s">
        <v>46</v>
      </c>
      <c r="F446" s="4" t="s">
        <v>21</v>
      </c>
      <c r="G446" s="4" t="s">
        <v>12</v>
      </c>
      <c r="H446" s="5">
        <v>13173.0</v>
      </c>
      <c r="I446" s="4" t="s">
        <v>42</v>
      </c>
    </row>
    <row r="447">
      <c r="A447" s="4" t="s">
        <v>763</v>
      </c>
      <c r="B447" s="4" t="s">
        <v>225</v>
      </c>
      <c r="C447" s="4" t="s">
        <v>76</v>
      </c>
      <c r="D447" s="4" t="s">
        <v>24</v>
      </c>
      <c r="E447" s="4" t="s">
        <v>46</v>
      </c>
      <c r="F447" s="4" t="s">
        <v>52</v>
      </c>
      <c r="G447" s="4" t="s">
        <v>12</v>
      </c>
      <c r="H447" s="5">
        <v>9202.0</v>
      </c>
      <c r="I447" s="4" t="s">
        <v>42</v>
      </c>
    </row>
    <row r="448">
      <c r="A448" s="4" t="s">
        <v>764</v>
      </c>
      <c r="B448" s="4" t="s">
        <v>280</v>
      </c>
      <c r="C448" s="4" t="s">
        <v>45</v>
      </c>
      <c r="D448" s="4" t="s">
        <v>22</v>
      </c>
      <c r="E448" s="4" t="s">
        <v>46</v>
      </c>
      <c r="F448" s="4" t="s">
        <v>52</v>
      </c>
      <c r="G448" s="4" t="s">
        <v>13</v>
      </c>
      <c r="H448" s="5">
        <v>18990.0</v>
      </c>
      <c r="I448" s="4" t="s">
        <v>23</v>
      </c>
    </row>
    <row r="449">
      <c r="A449" s="4" t="s">
        <v>765</v>
      </c>
      <c r="B449" s="4" t="s">
        <v>766</v>
      </c>
      <c r="C449" s="4" t="s">
        <v>18</v>
      </c>
      <c r="D449" s="4" t="s">
        <v>16</v>
      </c>
      <c r="E449" s="4" t="s">
        <v>58</v>
      </c>
      <c r="F449" s="4" t="s">
        <v>52</v>
      </c>
      <c r="G449" s="4" t="s">
        <v>11</v>
      </c>
      <c r="H449" s="5">
        <v>14989.0</v>
      </c>
      <c r="I449" s="4" t="s">
        <v>23</v>
      </c>
    </row>
    <row r="450">
      <c r="A450" s="4" t="s">
        <v>767</v>
      </c>
      <c r="B450" s="4" t="s">
        <v>288</v>
      </c>
      <c r="C450" s="4" t="s">
        <v>76</v>
      </c>
      <c r="D450" s="4" t="s">
        <v>24</v>
      </c>
      <c r="E450" s="4" t="s">
        <v>46</v>
      </c>
      <c r="F450" s="4" t="s">
        <v>21</v>
      </c>
      <c r="G450" s="4" t="s">
        <v>12</v>
      </c>
      <c r="H450" s="5">
        <v>9493.0</v>
      </c>
      <c r="I450" s="4" t="s">
        <v>37</v>
      </c>
    </row>
    <row r="451">
      <c r="A451" s="4" t="s">
        <v>768</v>
      </c>
      <c r="B451" s="4" t="s">
        <v>400</v>
      </c>
      <c r="C451" s="4" t="s">
        <v>57</v>
      </c>
      <c r="D451" s="4" t="s">
        <v>19</v>
      </c>
      <c r="E451" s="4" t="s">
        <v>46</v>
      </c>
      <c r="F451" s="4" t="s">
        <v>41</v>
      </c>
      <c r="G451" s="4" t="s">
        <v>12</v>
      </c>
      <c r="H451" s="5">
        <v>11562.0</v>
      </c>
      <c r="I451" s="4" t="s">
        <v>37</v>
      </c>
    </row>
    <row r="452">
      <c r="A452" s="4" t="s">
        <v>769</v>
      </c>
      <c r="B452" s="4" t="s">
        <v>240</v>
      </c>
      <c r="C452" s="4" t="s">
        <v>45</v>
      </c>
      <c r="D452" s="4" t="s">
        <v>22</v>
      </c>
      <c r="E452" s="4" t="s">
        <v>46</v>
      </c>
      <c r="F452" s="4" t="s">
        <v>21</v>
      </c>
      <c r="G452" s="4" t="s">
        <v>13</v>
      </c>
      <c r="H452" s="5">
        <v>18071.0</v>
      </c>
      <c r="I452" s="4" t="s">
        <v>47</v>
      </c>
    </row>
    <row r="453">
      <c r="A453" s="4" t="s">
        <v>770</v>
      </c>
      <c r="B453" s="4" t="s">
        <v>503</v>
      </c>
      <c r="C453" s="4" t="s">
        <v>18</v>
      </c>
      <c r="D453" s="4" t="s">
        <v>16</v>
      </c>
      <c r="E453" s="4" t="s">
        <v>58</v>
      </c>
      <c r="F453" s="4" t="s">
        <v>21</v>
      </c>
      <c r="G453" s="4" t="s">
        <v>11</v>
      </c>
      <c r="H453" s="5">
        <v>14145.0</v>
      </c>
      <c r="I453" s="4" t="s">
        <v>37</v>
      </c>
    </row>
    <row r="454">
      <c r="A454" s="4" t="s">
        <v>771</v>
      </c>
      <c r="B454" s="4" t="s">
        <v>772</v>
      </c>
      <c r="C454" s="4" t="s">
        <v>18</v>
      </c>
      <c r="D454" s="4" t="s">
        <v>16</v>
      </c>
      <c r="E454" s="4" t="s">
        <v>58</v>
      </c>
      <c r="F454" s="4" t="s">
        <v>21</v>
      </c>
      <c r="G454" s="4" t="s">
        <v>12</v>
      </c>
      <c r="H454" s="5">
        <v>13475.0</v>
      </c>
      <c r="I454" s="4" t="s">
        <v>37</v>
      </c>
    </row>
    <row r="455">
      <c r="A455" s="4" t="s">
        <v>773</v>
      </c>
      <c r="B455" s="4" t="s">
        <v>560</v>
      </c>
      <c r="C455" s="4" t="s">
        <v>57</v>
      </c>
      <c r="D455" s="4" t="s">
        <v>19</v>
      </c>
      <c r="E455" s="4" t="s">
        <v>58</v>
      </c>
      <c r="F455" s="4" t="s">
        <v>41</v>
      </c>
      <c r="G455" s="4" t="s">
        <v>11</v>
      </c>
      <c r="H455" s="5">
        <v>14167.0</v>
      </c>
      <c r="I455" s="4" t="s">
        <v>37</v>
      </c>
    </row>
    <row r="456">
      <c r="A456" s="4" t="s">
        <v>774</v>
      </c>
      <c r="B456" s="4" t="s">
        <v>263</v>
      </c>
      <c r="C456" s="4" t="s">
        <v>18</v>
      </c>
      <c r="D456" s="4" t="s">
        <v>16</v>
      </c>
      <c r="E456" s="4" t="s">
        <v>46</v>
      </c>
      <c r="F456" s="4" t="s">
        <v>52</v>
      </c>
      <c r="G456" s="4" t="s">
        <v>12</v>
      </c>
      <c r="H456" s="5">
        <v>12010.0</v>
      </c>
      <c r="I456" s="4" t="s">
        <v>37</v>
      </c>
    </row>
    <row r="457">
      <c r="A457" s="4" t="s">
        <v>775</v>
      </c>
      <c r="B457" s="4" t="s">
        <v>776</v>
      </c>
      <c r="C457" s="4" t="s">
        <v>57</v>
      </c>
      <c r="D457" s="4" t="s">
        <v>19</v>
      </c>
      <c r="E457" s="4" t="s">
        <v>46</v>
      </c>
      <c r="F457" s="4" t="s">
        <v>21</v>
      </c>
      <c r="G457" s="4" t="s">
        <v>11</v>
      </c>
      <c r="H457" s="5">
        <v>12568.0</v>
      </c>
      <c r="I457" s="4" t="s">
        <v>23</v>
      </c>
    </row>
    <row r="458">
      <c r="A458" s="4" t="s">
        <v>777</v>
      </c>
      <c r="B458" s="4" t="s">
        <v>554</v>
      </c>
      <c r="C458" s="4" t="s">
        <v>18</v>
      </c>
      <c r="D458" s="4" t="s">
        <v>16</v>
      </c>
      <c r="E458" s="4" t="s">
        <v>20</v>
      </c>
      <c r="F458" s="4" t="s">
        <v>52</v>
      </c>
      <c r="G458" s="4" t="s">
        <v>12</v>
      </c>
      <c r="H458" s="5">
        <v>14685.0</v>
      </c>
      <c r="I458" s="4"/>
    </row>
    <row r="459">
      <c r="A459" s="4" t="s">
        <v>778</v>
      </c>
      <c r="B459" s="4" t="s">
        <v>508</v>
      </c>
      <c r="C459" s="4" t="s">
        <v>76</v>
      </c>
      <c r="D459" s="4" t="s">
        <v>24</v>
      </c>
      <c r="E459" s="4" t="s">
        <v>20</v>
      </c>
      <c r="F459" s="4" t="s">
        <v>21</v>
      </c>
      <c r="G459" s="4" t="s">
        <v>11</v>
      </c>
      <c r="H459" s="5">
        <v>10383.0</v>
      </c>
      <c r="I459" s="4" t="s">
        <v>37</v>
      </c>
    </row>
    <row r="460">
      <c r="A460" s="4" t="s">
        <v>779</v>
      </c>
      <c r="B460" s="4" t="s">
        <v>152</v>
      </c>
      <c r="C460" s="4" t="s">
        <v>18</v>
      </c>
      <c r="D460" s="4" t="s">
        <v>16</v>
      </c>
      <c r="E460" s="4" t="s">
        <v>46</v>
      </c>
      <c r="F460" s="4" t="s">
        <v>41</v>
      </c>
      <c r="G460" s="4" t="s">
        <v>12</v>
      </c>
      <c r="H460" s="5">
        <v>12188.0</v>
      </c>
      <c r="I460" s="4"/>
    </row>
    <row r="461">
      <c r="A461" s="4" t="s">
        <v>780</v>
      </c>
      <c r="B461" s="4" t="s">
        <v>545</v>
      </c>
      <c r="C461" s="4" t="s">
        <v>45</v>
      </c>
      <c r="D461" s="4" t="s">
        <v>22</v>
      </c>
      <c r="E461" s="4" t="s">
        <v>58</v>
      </c>
      <c r="F461" s="4" t="s">
        <v>21</v>
      </c>
      <c r="G461" s="4" t="s">
        <v>13</v>
      </c>
      <c r="H461" s="5">
        <v>17265.0</v>
      </c>
      <c r="I461" s="4"/>
    </row>
    <row r="462">
      <c r="A462" s="4" t="s">
        <v>781</v>
      </c>
      <c r="B462" s="4" t="s">
        <v>508</v>
      </c>
      <c r="C462" s="4" t="s">
        <v>45</v>
      </c>
      <c r="D462" s="4" t="s">
        <v>22</v>
      </c>
      <c r="E462" s="4" t="s">
        <v>20</v>
      </c>
      <c r="F462" s="4" t="s">
        <v>21</v>
      </c>
      <c r="G462" s="4" t="s">
        <v>12</v>
      </c>
      <c r="H462" s="5">
        <v>17550.0</v>
      </c>
      <c r="I462" s="4" t="s">
        <v>23</v>
      </c>
    </row>
    <row r="463">
      <c r="A463" s="4" t="s">
        <v>782</v>
      </c>
      <c r="B463" s="4" t="s">
        <v>51</v>
      </c>
      <c r="C463" s="4" t="s">
        <v>76</v>
      </c>
      <c r="D463" s="4" t="s">
        <v>24</v>
      </c>
      <c r="E463" s="4" t="s">
        <v>46</v>
      </c>
      <c r="F463" s="4" t="s">
        <v>52</v>
      </c>
      <c r="G463" s="4" t="s">
        <v>12</v>
      </c>
      <c r="H463" s="5">
        <v>10114.0</v>
      </c>
      <c r="I463" s="4" t="s">
        <v>23</v>
      </c>
    </row>
    <row r="464">
      <c r="A464" s="4" t="s">
        <v>783</v>
      </c>
      <c r="B464" s="4" t="s">
        <v>506</v>
      </c>
      <c r="C464" s="4" t="s">
        <v>18</v>
      </c>
      <c r="D464" s="4" t="s">
        <v>16</v>
      </c>
      <c r="E464" s="4" t="s">
        <v>46</v>
      </c>
      <c r="F464" s="4" t="s">
        <v>52</v>
      </c>
      <c r="G464" s="4" t="s">
        <v>11</v>
      </c>
      <c r="H464" s="5">
        <v>14604.0</v>
      </c>
      <c r="I464" s="4" t="s">
        <v>37</v>
      </c>
    </row>
    <row r="465">
      <c r="A465" s="4" t="s">
        <v>784</v>
      </c>
      <c r="B465" s="4" t="s">
        <v>424</v>
      </c>
      <c r="C465" s="4" t="s">
        <v>76</v>
      </c>
      <c r="D465" s="4" t="s">
        <v>24</v>
      </c>
      <c r="E465" s="4" t="s">
        <v>20</v>
      </c>
      <c r="F465" s="4" t="s">
        <v>52</v>
      </c>
      <c r="G465" s="4" t="s">
        <v>11</v>
      </c>
      <c r="H465" s="5">
        <v>7425.0</v>
      </c>
      <c r="I465" s="4" t="s">
        <v>23</v>
      </c>
    </row>
    <row r="466">
      <c r="A466" s="4" t="s">
        <v>785</v>
      </c>
      <c r="B466" s="4" t="s">
        <v>514</v>
      </c>
      <c r="C466" s="4" t="s">
        <v>76</v>
      </c>
      <c r="D466" s="4" t="s">
        <v>24</v>
      </c>
      <c r="E466" s="4" t="s">
        <v>46</v>
      </c>
      <c r="F466" s="4" t="s">
        <v>41</v>
      </c>
      <c r="G466" s="4" t="s">
        <v>12</v>
      </c>
      <c r="H466" s="5">
        <v>8146.0</v>
      </c>
      <c r="I466" s="4" t="s">
        <v>37</v>
      </c>
    </row>
    <row r="467">
      <c r="A467" s="4" t="s">
        <v>786</v>
      </c>
      <c r="B467" s="4" t="s">
        <v>653</v>
      </c>
      <c r="C467" s="4" t="s">
        <v>76</v>
      </c>
      <c r="D467" s="4" t="s">
        <v>24</v>
      </c>
      <c r="E467" s="4" t="s">
        <v>20</v>
      </c>
      <c r="F467" s="4" t="s">
        <v>21</v>
      </c>
      <c r="G467" s="4" t="s">
        <v>11</v>
      </c>
      <c r="H467" s="5">
        <v>10991.0</v>
      </c>
      <c r="I467" s="4" t="s">
        <v>37</v>
      </c>
    </row>
    <row r="468">
      <c r="A468" s="4" t="s">
        <v>787</v>
      </c>
      <c r="B468" s="4" t="s">
        <v>300</v>
      </c>
      <c r="C468" s="4" t="s">
        <v>57</v>
      </c>
      <c r="D468" s="4" t="s">
        <v>19</v>
      </c>
      <c r="E468" s="4" t="s">
        <v>20</v>
      </c>
      <c r="F468" s="4" t="s">
        <v>21</v>
      </c>
      <c r="G468" s="4" t="s">
        <v>13</v>
      </c>
      <c r="H468" s="5">
        <v>13424.0</v>
      </c>
      <c r="I468" s="4" t="s">
        <v>42</v>
      </c>
    </row>
    <row r="469">
      <c r="A469" s="4" t="s">
        <v>788</v>
      </c>
      <c r="B469" s="4" t="s">
        <v>366</v>
      </c>
      <c r="C469" s="4" t="s">
        <v>57</v>
      </c>
      <c r="D469" s="4" t="s">
        <v>19</v>
      </c>
      <c r="E469" s="4" t="s">
        <v>46</v>
      </c>
      <c r="F469" s="4" t="s">
        <v>21</v>
      </c>
      <c r="G469" s="4" t="s">
        <v>11</v>
      </c>
      <c r="H469" s="5">
        <v>14485.0</v>
      </c>
      <c r="I469" s="4" t="s">
        <v>47</v>
      </c>
    </row>
    <row r="470">
      <c r="A470" s="4" t="s">
        <v>789</v>
      </c>
      <c r="B470" s="4" t="s">
        <v>229</v>
      </c>
      <c r="C470" s="4" t="s">
        <v>45</v>
      </c>
      <c r="D470" s="4" t="s">
        <v>22</v>
      </c>
      <c r="E470" s="4" t="s">
        <v>58</v>
      </c>
      <c r="F470" s="4" t="s">
        <v>21</v>
      </c>
      <c r="G470" s="4" t="s">
        <v>11</v>
      </c>
      <c r="H470" s="5">
        <v>15956.0</v>
      </c>
      <c r="I470" s="4" t="s">
        <v>37</v>
      </c>
    </row>
    <row r="471">
      <c r="A471" s="4" t="s">
        <v>790</v>
      </c>
      <c r="B471" s="4" t="s">
        <v>294</v>
      </c>
      <c r="C471" s="4" t="s">
        <v>18</v>
      </c>
      <c r="D471" s="4" t="s">
        <v>16</v>
      </c>
      <c r="E471" s="4" t="s">
        <v>46</v>
      </c>
      <c r="F471" s="4" t="s">
        <v>41</v>
      </c>
      <c r="G471" s="4" t="s">
        <v>13</v>
      </c>
      <c r="H471" s="5">
        <v>13841.0</v>
      </c>
      <c r="I471" s="4"/>
    </row>
    <row r="472">
      <c r="A472" s="4" t="s">
        <v>791</v>
      </c>
      <c r="B472" s="4" t="s">
        <v>54</v>
      </c>
      <c r="C472" s="4" t="s">
        <v>45</v>
      </c>
      <c r="D472" s="4" t="s">
        <v>22</v>
      </c>
      <c r="E472" s="4" t="s">
        <v>46</v>
      </c>
      <c r="F472" s="4" t="s">
        <v>21</v>
      </c>
      <c r="G472" s="4" t="s">
        <v>11</v>
      </c>
      <c r="H472" s="5">
        <v>16897.0</v>
      </c>
      <c r="I472" s="4" t="s">
        <v>47</v>
      </c>
    </row>
    <row r="473">
      <c r="A473" s="4" t="s">
        <v>792</v>
      </c>
      <c r="B473" s="4" t="s">
        <v>102</v>
      </c>
      <c r="C473" s="4" t="s">
        <v>57</v>
      </c>
      <c r="D473" s="4" t="s">
        <v>19</v>
      </c>
      <c r="E473" s="4" t="s">
        <v>20</v>
      </c>
      <c r="F473" s="4" t="s">
        <v>21</v>
      </c>
      <c r="G473" s="4" t="s">
        <v>12</v>
      </c>
      <c r="H473" s="5">
        <v>13854.0</v>
      </c>
      <c r="I473" s="4" t="s">
        <v>42</v>
      </c>
    </row>
    <row r="474">
      <c r="A474" s="4" t="s">
        <v>793</v>
      </c>
      <c r="B474" s="4" t="s">
        <v>218</v>
      </c>
      <c r="C474" s="4" t="s">
        <v>45</v>
      </c>
      <c r="D474" s="4" t="s">
        <v>22</v>
      </c>
      <c r="E474" s="4" t="s">
        <v>46</v>
      </c>
      <c r="F474" s="4" t="s">
        <v>41</v>
      </c>
      <c r="G474" s="4" t="s">
        <v>12</v>
      </c>
      <c r="H474" s="5">
        <v>16016.0</v>
      </c>
      <c r="I474" s="4" t="s">
        <v>47</v>
      </c>
    </row>
    <row r="475">
      <c r="A475" s="4" t="s">
        <v>794</v>
      </c>
      <c r="B475" s="4" t="s">
        <v>233</v>
      </c>
      <c r="C475" s="4" t="s">
        <v>45</v>
      </c>
      <c r="D475" s="4" t="s">
        <v>22</v>
      </c>
      <c r="E475" s="4" t="s">
        <v>58</v>
      </c>
      <c r="F475" s="4" t="s">
        <v>41</v>
      </c>
      <c r="G475" s="4" t="s">
        <v>13</v>
      </c>
      <c r="H475" s="5">
        <v>18899.0</v>
      </c>
      <c r="I475" s="4"/>
    </row>
    <row r="476">
      <c r="A476" s="4" t="s">
        <v>795</v>
      </c>
      <c r="B476" s="4" t="s">
        <v>427</v>
      </c>
      <c r="C476" s="4" t="s">
        <v>57</v>
      </c>
      <c r="D476" s="4" t="s">
        <v>19</v>
      </c>
      <c r="E476" s="4" t="s">
        <v>46</v>
      </c>
      <c r="F476" s="4" t="s">
        <v>21</v>
      </c>
      <c r="G476" s="4" t="s">
        <v>13</v>
      </c>
      <c r="H476" s="5">
        <v>14292.0</v>
      </c>
      <c r="I476" s="4" t="s">
        <v>23</v>
      </c>
    </row>
    <row r="477">
      <c r="A477" s="4" t="s">
        <v>796</v>
      </c>
      <c r="B477" s="4" t="s">
        <v>205</v>
      </c>
      <c r="C477" s="4" t="s">
        <v>57</v>
      </c>
      <c r="D477" s="4" t="s">
        <v>19</v>
      </c>
      <c r="E477" s="4" t="s">
        <v>46</v>
      </c>
      <c r="F477" s="4" t="s">
        <v>41</v>
      </c>
      <c r="G477" s="4" t="s">
        <v>11</v>
      </c>
      <c r="H477" s="5">
        <v>12524.0</v>
      </c>
      <c r="I477" s="4" t="s">
        <v>37</v>
      </c>
    </row>
    <row r="478">
      <c r="A478" s="4" t="s">
        <v>797</v>
      </c>
      <c r="B478" s="4" t="s">
        <v>385</v>
      </c>
      <c r="C478" s="4" t="s">
        <v>18</v>
      </c>
      <c r="D478" s="4" t="s">
        <v>16</v>
      </c>
      <c r="E478" s="4" t="s">
        <v>46</v>
      </c>
      <c r="F478" s="4" t="s">
        <v>41</v>
      </c>
      <c r="G478" s="4" t="s">
        <v>13</v>
      </c>
      <c r="H478" s="5">
        <v>15696.0</v>
      </c>
      <c r="I478" s="4"/>
    </row>
    <row r="479">
      <c r="A479" s="4" t="s">
        <v>798</v>
      </c>
      <c r="B479" s="4" t="s">
        <v>421</v>
      </c>
      <c r="C479" s="4" t="s">
        <v>45</v>
      </c>
      <c r="D479" s="4" t="s">
        <v>22</v>
      </c>
      <c r="E479" s="4" t="s">
        <v>46</v>
      </c>
      <c r="F479" s="4" t="s">
        <v>41</v>
      </c>
      <c r="G479" s="4" t="s">
        <v>11</v>
      </c>
      <c r="H479" s="5">
        <v>15207.0</v>
      </c>
      <c r="I479" s="4" t="s">
        <v>23</v>
      </c>
    </row>
    <row r="480">
      <c r="A480" s="4" t="s">
        <v>799</v>
      </c>
      <c r="B480" s="4" t="s">
        <v>434</v>
      </c>
      <c r="C480" s="4" t="s">
        <v>76</v>
      </c>
      <c r="D480" s="4" t="s">
        <v>24</v>
      </c>
      <c r="E480" s="4" t="s">
        <v>58</v>
      </c>
      <c r="F480" s="4" t="s">
        <v>41</v>
      </c>
      <c r="G480" s="4" t="s">
        <v>11</v>
      </c>
      <c r="H480" s="5">
        <v>9798.0</v>
      </c>
      <c r="I480" s="4"/>
    </row>
    <row r="481">
      <c r="A481" s="4" t="s">
        <v>800</v>
      </c>
      <c r="B481" s="4" t="s">
        <v>508</v>
      </c>
      <c r="C481" s="4" t="s">
        <v>57</v>
      </c>
      <c r="D481" s="4" t="s">
        <v>19</v>
      </c>
      <c r="E481" s="4" t="s">
        <v>58</v>
      </c>
      <c r="F481" s="4" t="s">
        <v>21</v>
      </c>
      <c r="G481" s="4" t="s">
        <v>11</v>
      </c>
      <c r="H481" s="5">
        <v>14618.0</v>
      </c>
      <c r="I481" s="4" t="s">
        <v>23</v>
      </c>
    </row>
    <row r="482">
      <c r="A482" s="4" t="s">
        <v>801</v>
      </c>
      <c r="B482" s="4" t="s">
        <v>248</v>
      </c>
      <c r="C482" s="4" t="s">
        <v>57</v>
      </c>
      <c r="D482" s="4" t="s">
        <v>19</v>
      </c>
      <c r="E482" s="4" t="s">
        <v>20</v>
      </c>
      <c r="F482" s="4" t="s">
        <v>21</v>
      </c>
      <c r="G482" s="4" t="s">
        <v>11</v>
      </c>
      <c r="H482" s="5">
        <v>12687.0</v>
      </c>
      <c r="I482" s="4" t="s">
        <v>42</v>
      </c>
    </row>
    <row r="483">
      <c r="A483" s="4" t="s">
        <v>802</v>
      </c>
      <c r="B483" s="4" t="s">
        <v>100</v>
      </c>
      <c r="C483" s="4" t="s">
        <v>45</v>
      </c>
      <c r="D483" s="4" t="s">
        <v>22</v>
      </c>
      <c r="E483" s="4" t="s">
        <v>58</v>
      </c>
      <c r="F483" s="4" t="s">
        <v>41</v>
      </c>
      <c r="G483" s="4" t="s">
        <v>11</v>
      </c>
      <c r="H483" s="5">
        <v>15816.0</v>
      </c>
      <c r="I483" s="4" t="s">
        <v>42</v>
      </c>
    </row>
    <row r="484">
      <c r="A484" s="4" t="s">
        <v>803</v>
      </c>
      <c r="B484" s="4" t="s">
        <v>361</v>
      </c>
      <c r="C484" s="4" t="s">
        <v>18</v>
      </c>
      <c r="D484" s="4" t="s">
        <v>16</v>
      </c>
      <c r="E484" s="4" t="s">
        <v>58</v>
      </c>
      <c r="F484" s="4" t="s">
        <v>52</v>
      </c>
      <c r="G484" s="4" t="s">
        <v>11</v>
      </c>
      <c r="H484" s="5">
        <v>13964.0</v>
      </c>
      <c r="I484" s="4" t="s">
        <v>42</v>
      </c>
    </row>
    <row r="485">
      <c r="A485" s="4" t="s">
        <v>804</v>
      </c>
      <c r="B485" s="4" t="s">
        <v>240</v>
      </c>
      <c r="C485" s="4" t="s">
        <v>45</v>
      </c>
      <c r="D485" s="4" t="s">
        <v>22</v>
      </c>
      <c r="E485" s="4" t="s">
        <v>58</v>
      </c>
      <c r="F485" s="4" t="s">
        <v>21</v>
      </c>
      <c r="G485" s="4" t="s">
        <v>13</v>
      </c>
      <c r="H485" s="5">
        <v>15106.0</v>
      </c>
      <c r="I485" s="4" t="s">
        <v>47</v>
      </c>
    </row>
    <row r="486">
      <c r="A486" s="4" t="s">
        <v>805</v>
      </c>
      <c r="B486" s="4" t="s">
        <v>600</v>
      </c>
      <c r="C486" s="4" t="s">
        <v>45</v>
      </c>
      <c r="D486" s="4" t="s">
        <v>22</v>
      </c>
      <c r="E486" s="4" t="s">
        <v>46</v>
      </c>
      <c r="F486" s="4" t="s">
        <v>21</v>
      </c>
      <c r="G486" s="4" t="s">
        <v>12</v>
      </c>
      <c r="H486" s="5">
        <v>16464.0</v>
      </c>
      <c r="I486" s="4" t="s">
        <v>42</v>
      </c>
    </row>
    <row r="487">
      <c r="A487" s="4" t="s">
        <v>806</v>
      </c>
      <c r="B487" s="4" t="s">
        <v>421</v>
      </c>
      <c r="C487" s="4" t="s">
        <v>57</v>
      </c>
      <c r="D487" s="4" t="s">
        <v>19</v>
      </c>
      <c r="E487" s="4" t="s">
        <v>20</v>
      </c>
      <c r="F487" s="4" t="s">
        <v>41</v>
      </c>
      <c r="G487" s="4" t="s">
        <v>11</v>
      </c>
      <c r="H487" s="5">
        <v>13185.0</v>
      </c>
      <c r="I487" s="4" t="s">
        <v>37</v>
      </c>
    </row>
    <row r="488">
      <c r="A488" s="4" t="s">
        <v>807</v>
      </c>
      <c r="B488" s="4" t="s">
        <v>70</v>
      </c>
      <c r="C488" s="4" t="s">
        <v>76</v>
      </c>
      <c r="D488" s="4" t="s">
        <v>24</v>
      </c>
      <c r="E488" s="4" t="s">
        <v>58</v>
      </c>
      <c r="F488" s="4" t="s">
        <v>41</v>
      </c>
      <c r="G488" s="4" t="s">
        <v>13</v>
      </c>
      <c r="H488" s="5">
        <v>7968.0</v>
      </c>
      <c r="I488" s="4" t="s">
        <v>42</v>
      </c>
    </row>
    <row r="489">
      <c r="A489" s="4" t="s">
        <v>808</v>
      </c>
      <c r="B489" s="4" t="s">
        <v>390</v>
      </c>
      <c r="C489" s="4" t="s">
        <v>45</v>
      </c>
      <c r="D489" s="4" t="s">
        <v>22</v>
      </c>
      <c r="E489" s="4" t="s">
        <v>20</v>
      </c>
      <c r="F489" s="4" t="s">
        <v>41</v>
      </c>
      <c r="G489" s="4" t="s">
        <v>12</v>
      </c>
      <c r="H489" s="5">
        <v>17869.0</v>
      </c>
      <c r="I489" s="4" t="s">
        <v>47</v>
      </c>
    </row>
    <row r="490">
      <c r="A490" s="4" t="s">
        <v>809</v>
      </c>
      <c r="B490" s="4" t="s">
        <v>248</v>
      </c>
      <c r="C490" s="4" t="s">
        <v>57</v>
      </c>
      <c r="D490" s="4" t="s">
        <v>19</v>
      </c>
      <c r="E490" s="4" t="s">
        <v>20</v>
      </c>
      <c r="F490" s="4" t="s">
        <v>41</v>
      </c>
      <c r="G490" s="4" t="s">
        <v>11</v>
      </c>
      <c r="H490" s="5">
        <v>13220.0</v>
      </c>
      <c r="I490" s="4" t="s">
        <v>47</v>
      </c>
    </row>
    <row r="491">
      <c r="A491" s="4" t="s">
        <v>810</v>
      </c>
      <c r="B491" s="4" t="s">
        <v>811</v>
      </c>
      <c r="C491" s="4" t="s">
        <v>18</v>
      </c>
      <c r="D491" s="4" t="s">
        <v>16</v>
      </c>
      <c r="E491" s="4" t="s">
        <v>46</v>
      </c>
      <c r="F491" s="4" t="s">
        <v>41</v>
      </c>
      <c r="G491" s="4" t="s">
        <v>12</v>
      </c>
      <c r="H491" s="5">
        <v>12896.0</v>
      </c>
      <c r="I491" s="4" t="s">
        <v>37</v>
      </c>
    </row>
    <row r="492">
      <c r="A492" s="4" t="s">
        <v>812</v>
      </c>
      <c r="B492" s="4" t="s">
        <v>811</v>
      </c>
      <c r="C492" s="4" t="s">
        <v>45</v>
      </c>
      <c r="D492" s="4" t="s">
        <v>22</v>
      </c>
      <c r="E492" s="4" t="s">
        <v>20</v>
      </c>
      <c r="F492" s="4" t="s">
        <v>41</v>
      </c>
      <c r="G492" s="4" t="s">
        <v>13</v>
      </c>
      <c r="H492" s="5">
        <v>16395.0</v>
      </c>
      <c r="I492" s="4" t="s">
        <v>23</v>
      </c>
    </row>
    <row r="493">
      <c r="A493" s="4" t="s">
        <v>813</v>
      </c>
      <c r="B493" s="4" t="s">
        <v>180</v>
      </c>
      <c r="C493" s="4" t="s">
        <v>45</v>
      </c>
      <c r="D493" s="4" t="s">
        <v>22</v>
      </c>
      <c r="E493" s="4" t="s">
        <v>46</v>
      </c>
      <c r="F493" s="4" t="s">
        <v>41</v>
      </c>
      <c r="G493" s="4" t="s">
        <v>13</v>
      </c>
      <c r="H493" s="5">
        <v>17402.0</v>
      </c>
      <c r="I493" s="4" t="s">
        <v>23</v>
      </c>
    </row>
    <row r="494">
      <c r="A494" s="4" t="s">
        <v>814</v>
      </c>
      <c r="B494" s="4" t="s">
        <v>202</v>
      </c>
      <c r="C494" s="4" t="s">
        <v>45</v>
      </c>
      <c r="D494" s="4" t="s">
        <v>22</v>
      </c>
      <c r="E494" s="4" t="s">
        <v>46</v>
      </c>
      <c r="F494" s="4" t="s">
        <v>21</v>
      </c>
      <c r="G494" s="4" t="s">
        <v>12</v>
      </c>
      <c r="H494" s="5">
        <v>18858.0</v>
      </c>
      <c r="I494" s="4"/>
    </row>
    <row r="495">
      <c r="A495" s="4" t="s">
        <v>815</v>
      </c>
      <c r="B495" s="4" t="s">
        <v>532</v>
      </c>
      <c r="C495" s="4" t="s">
        <v>45</v>
      </c>
      <c r="D495" s="4" t="s">
        <v>22</v>
      </c>
      <c r="E495" s="4" t="s">
        <v>58</v>
      </c>
      <c r="F495" s="4" t="s">
        <v>41</v>
      </c>
      <c r="G495" s="4" t="s">
        <v>13</v>
      </c>
      <c r="H495" s="5">
        <v>17999.0</v>
      </c>
      <c r="I495" s="4"/>
    </row>
    <row r="496">
      <c r="A496" s="4" t="s">
        <v>816</v>
      </c>
      <c r="B496" s="4" t="s">
        <v>691</v>
      </c>
      <c r="C496" s="4" t="s">
        <v>45</v>
      </c>
      <c r="D496" s="4" t="s">
        <v>22</v>
      </c>
      <c r="E496" s="4" t="s">
        <v>46</v>
      </c>
      <c r="F496" s="4" t="s">
        <v>52</v>
      </c>
      <c r="G496" s="4" t="s">
        <v>12</v>
      </c>
      <c r="H496" s="5">
        <v>17840.0</v>
      </c>
      <c r="I496" s="4" t="s">
        <v>42</v>
      </c>
    </row>
    <row r="497">
      <c r="A497" s="4" t="s">
        <v>817</v>
      </c>
      <c r="B497" s="4" t="s">
        <v>508</v>
      </c>
      <c r="C497" s="4" t="s">
        <v>57</v>
      </c>
      <c r="D497" s="4" t="s">
        <v>19</v>
      </c>
      <c r="E497" s="4" t="s">
        <v>58</v>
      </c>
      <c r="F497" s="4" t="s">
        <v>21</v>
      </c>
      <c r="G497" s="4" t="s">
        <v>12</v>
      </c>
      <c r="H497" s="5">
        <v>13820.0</v>
      </c>
      <c r="I497" s="4" t="s">
        <v>47</v>
      </c>
    </row>
    <row r="498">
      <c r="A498" s="4" t="s">
        <v>818</v>
      </c>
      <c r="B498" s="4" t="s">
        <v>372</v>
      </c>
      <c r="C498" s="4" t="s">
        <v>18</v>
      </c>
      <c r="D498" s="4" t="s">
        <v>16</v>
      </c>
      <c r="E498" s="4" t="s">
        <v>20</v>
      </c>
      <c r="F498" s="4" t="s">
        <v>52</v>
      </c>
      <c r="G498" s="4" t="s">
        <v>11</v>
      </c>
      <c r="H498" s="5">
        <v>15484.0</v>
      </c>
      <c r="I498" s="4" t="s">
        <v>42</v>
      </c>
    </row>
    <row r="499">
      <c r="A499" s="4" t="s">
        <v>819</v>
      </c>
      <c r="B499" s="4" t="s">
        <v>820</v>
      </c>
      <c r="C499" s="4" t="s">
        <v>45</v>
      </c>
      <c r="D499" s="4" t="s">
        <v>22</v>
      </c>
      <c r="E499" s="4" t="s">
        <v>20</v>
      </c>
      <c r="F499" s="4" t="s">
        <v>41</v>
      </c>
      <c r="G499" s="4" t="s">
        <v>12</v>
      </c>
      <c r="H499" s="5">
        <v>17316.0</v>
      </c>
      <c r="I499" s="4" t="s">
        <v>37</v>
      </c>
    </row>
    <row r="500">
      <c r="A500" s="4" t="s">
        <v>821</v>
      </c>
      <c r="B500" s="4" t="s">
        <v>608</v>
      </c>
      <c r="C500" s="4" t="s">
        <v>45</v>
      </c>
      <c r="D500" s="4" t="s">
        <v>22</v>
      </c>
      <c r="E500" s="4" t="s">
        <v>20</v>
      </c>
      <c r="F500" s="4" t="s">
        <v>41</v>
      </c>
      <c r="G500" s="4" t="s">
        <v>13</v>
      </c>
      <c r="H500" s="5">
        <v>16420.0</v>
      </c>
      <c r="I500" s="4" t="s">
        <v>47</v>
      </c>
    </row>
    <row r="501">
      <c r="A501" s="4" t="s">
        <v>822</v>
      </c>
      <c r="B501" s="4" t="s">
        <v>17</v>
      </c>
      <c r="C501" s="4" t="s">
        <v>45</v>
      </c>
      <c r="D501" s="4" t="s">
        <v>22</v>
      </c>
      <c r="E501" s="4" t="s">
        <v>58</v>
      </c>
      <c r="F501" s="4" t="s">
        <v>41</v>
      </c>
      <c r="G501" s="4" t="s">
        <v>11</v>
      </c>
      <c r="H501" s="5">
        <v>15858.0</v>
      </c>
      <c r="I501" s="4" t="s">
        <v>23</v>
      </c>
    </row>
    <row r="502">
      <c r="A502" s="4" t="s">
        <v>823</v>
      </c>
      <c r="B502" s="4" t="s">
        <v>532</v>
      </c>
      <c r="C502" s="4" t="s">
        <v>45</v>
      </c>
      <c r="D502" s="4" t="s">
        <v>22</v>
      </c>
      <c r="E502" s="4" t="s">
        <v>46</v>
      </c>
      <c r="F502" s="4" t="s">
        <v>52</v>
      </c>
      <c r="G502" s="4" t="s">
        <v>13</v>
      </c>
      <c r="H502" s="5">
        <v>15197.0</v>
      </c>
      <c r="I502" s="4"/>
    </row>
    <row r="503">
      <c r="A503" s="4" t="s">
        <v>824</v>
      </c>
      <c r="B503" s="4" t="s">
        <v>166</v>
      </c>
      <c r="C503" s="4" t="s">
        <v>57</v>
      </c>
      <c r="D503" s="4" t="s">
        <v>19</v>
      </c>
      <c r="E503" s="4" t="s">
        <v>58</v>
      </c>
      <c r="F503" s="4" t="s">
        <v>21</v>
      </c>
      <c r="G503" s="4" t="s">
        <v>11</v>
      </c>
      <c r="H503" s="5">
        <v>12438.0</v>
      </c>
      <c r="I503" s="4" t="s">
        <v>42</v>
      </c>
    </row>
    <row r="504">
      <c r="A504" s="4" t="s">
        <v>825</v>
      </c>
      <c r="B504" s="4" t="s">
        <v>202</v>
      </c>
      <c r="C504" s="4" t="s">
        <v>76</v>
      </c>
      <c r="D504" s="4" t="s">
        <v>24</v>
      </c>
      <c r="E504" s="4" t="s">
        <v>20</v>
      </c>
      <c r="F504" s="4" t="s">
        <v>52</v>
      </c>
      <c r="G504" s="4" t="s">
        <v>12</v>
      </c>
      <c r="H504" s="5">
        <v>7923.0</v>
      </c>
      <c r="I504" s="4" t="s">
        <v>23</v>
      </c>
    </row>
    <row r="505">
      <c r="A505" s="4" t="s">
        <v>826</v>
      </c>
      <c r="B505" s="4" t="s">
        <v>253</v>
      </c>
      <c r="C505" s="4" t="s">
        <v>18</v>
      </c>
      <c r="D505" s="4" t="s">
        <v>16</v>
      </c>
      <c r="E505" s="4" t="s">
        <v>58</v>
      </c>
      <c r="F505" s="4" t="s">
        <v>41</v>
      </c>
      <c r="G505" s="4" t="s">
        <v>11</v>
      </c>
      <c r="H505" s="5">
        <v>13069.0</v>
      </c>
      <c r="I505" s="4" t="s">
        <v>37</v>
      </c>
    </row>
    <row r="506">
      <c r="A506" s="4" t="s">
        <v>827</v>
      </c>
      <c r="B506" s="4" t="s">
        <v>828</v>
      </c>
      <c r="C506" s="4" t="s">
        <v>76</v>
      </c>
      <c r="D506" s="4" t="s">
        <v>24</v>
      </c>
      <c r="E506" s="4" t="s">
        <v>46</v>
      </c>
      <c r="F506" s="4" t="s">
        <v>52</v>
      </c>
      <c r="G506" s="4" t="s">
        <v>13</v>
      </c>
      <c r="H506" s="5">
        <v>9240.0</v>
      </c>
      <c r="I506" s="4" t="s">
        <v>37</v>
      </c>
    </row>
    <row r="507">
      <c r="A507" s="4" t="s">
        <v>829</v>
      </c>
      <c r="B507" s="4" t="s">
        <v>248</v>
      </c>
      <c r="C507" s="4" t="s">
        <v>76</v>
      </c>
      <c r="D507" s="4" t="s">
        <v>24</v>
      </c>
      <c r="E507" s="4" t="s">
        <v>20</v>
      </c>
      <c r="F507" s="4" t="s">
        <v>41</v>
      </c>
      <c r="G507" s="4" t="s">
        <v>11</v>
      </c>
      <c r="H507" s="5">
        <v>10860.0</v>
      </c>
      <c r="I507" s="4" t="s">
        <v>23</v>
      </c>
    </row>
    <row r="508">
      <c r="A508" s="4" t="s">
        <v>830</v>
      </c>
      <c r="B508" s="4" t="s">
        <v>176</v>
      </c>
      <c r="C508" s="4" t="s">
        <v>57</v>
      </c>
      <c r="D508" s="4" t="s">
        <v>19</v>
      </c>
      <c r="E508" s="4" t="s">
        <v>46</v>
      </c>
      <c r="F508" s="4" t="s">
        <v>41</v>
      </c>
      <c r="G508" s="4" t="s">
        <v>11</v>
      </c>
      <c r="H508" s="5">
        <v>11841.0</v>
      </c>
      <c r="I508" s="4" t="s">
        <v>23</v>
      </c>
    </row>
    <row r="509">
      <c r="A509" s="4" t="s">
        <v>831</v>
      </c>
      <c r="B509" s="4" t="s">
        <v>136</v>
      </c>
      <c r="C509" s="4" t="s">
        <v>45</v>
      </c>
      <c r="D509" s="4" t="s">
        <v>22</v>
      </c>
      <c r="E509" s="4" t="s">
        <v>20</v>
      </c>
      <c r="F509" s="4" t="s">
        <v>21</v>
      </c>
      <c r="G509" s="4" t="s">
        <v>11</v>
      </c>
      <c r="H509" s="5">
        <v>15972.0</v>
      </c>
      <c r="I509" s="4" t="s">
        <v>37</v>
      </c>
    </row>
    <row r="510">
      <c r="A510" s="4" t="s">
        <v>832</v>
      </c>
      <c r="B510" s="4" t="s">
        <v>717</v>
      </c>
      <c r="C510" s="4" t="s">
        <v>76</v>
      </c>
      <c r="D510" s="4" t="s">
        <v>24</v>
      </c>
      <c r="E510" s="4" t="s">
        <v>46</v>
      </c>
      <c r="F510" s="4" t="s">
        <v>41</v>
      </c>
      <c r="G510" s="4" t="s">
        <v>11</v>
      </c>
      <c r="H510" s="5">
        <v>7015.0</v>
      </c>
      <c r="I510" s="4"/>
    </row>
    <row r="511">
      <c r="A511" s="4" t="s">
        <v>833</v>
      </c>
      <c r="B511" s="4" t="s">
        <v>182</v>
      </c>
      <c r="C511" s="4" t="s">
        <v>76</v>
      </c>
      <c r="D511" s="4" t="s">
        <v>24</v>
      </c>
      <c r="E511" s="4" t="s">
        <v>46</v>
      </c>
      <c r="F511" s="4" t="s">
        <v>41</v>
      </c>
      <c r="G511" s="4" t="s">
        <v>13</v>
      </c>
      <c r="H511" s="5">
        <v>7847.0</v>
      </c>
      <c r="I511" s="4" t="s">
        <v>23</v>
      </c>
    </row>
    <row r="512">
      <c r="A512" s="4" t="s">
        <v>834</v>
      </c>
      <c r="B512" s="4" t="s">
        <v>280</v>
      </c>
      <c r="C512" s="4" t="s">
        <v>76</v>
      </c>
      <c r="D512" s="4" t="s">
        <v>24</v>
      </c>
      <c r="E512" s="4" t="s">
        <v>46</v>
      </c>
      <c r="F512" s="4" t="s">
        <v>21</v>
      </c>
      <c r="G512" s="4" t="s">
        <v>11</v>
      </c>
      <c r="H512" s="5">
        <v>8928.0</v>
      </c>
      <c r="I512" s="4"/>
    </row>
    <row r="513">
      <c r="A513" s="4" t="s">
        <v>835</v>
      </c>
      <c r="B513" s="4" t="s">
        <v>370</v>
      </c>
      <c r="C513" s="4" t="s">
        <v>18</v>
      </c>
      <c r="D513" s="4" t="s">
        <v>16</v>
      </c>
      <c r="E513" s="4" t="s">
        <v>20</v>
      </c>
      <c r="F513" s="4" t="s">
        <v>52</v>
      </c>
      <c r="G513" s="4" t="s">
        <v>11</v>
      </c>
      <c r="H513" s="5">
        <v>12757.0</v>
      </c>
      <c r="I513" s="4" t="s">
        <v>47</v>
      </c>
    </row>
    <row r="514">
      <c r="A514" s="4" t="s">
        <v>836</v>
      </c>
      <c r="B514" s="4" t="s">
        <v>574</v>
      </c>
      <c r="C514" s="4" t="s">
        <v>57</v>
      </c>
      <c r="D514" s="4" t="s">
        <v>19</v>
      </c>
      <c r="E514" s="4" t="s">
        <v>58</v>
      </c>
      <c r="F514" s="4" t="s">
        <v>41</v>
      </c>
      <c r="G514" s="4" t="s">
        <v>11</v>
      </c>
      <c r="H514" s="5">
        <v>12801.0</v>
      </c>
      <c r="I514" s="4"/>
    </row>
    <row r="515">
      <c r="A515" s="4" t="s">
        <v>837</v>
      </c>
      <c r="B515" s="4" t="s">
        <v>218</v>
      </c>
      <c r="C515" s="4" t="s">
        <v>45</v>
      </c>
      <c r="D515" s="4" t="s">
        <v>22</v>
      </c>
      <c r="E515" s="4" t="s">
        <v>20</v>
      </c>
      <c r="F515" s="4" t="s">
        <v>41</v>
      </c>
      <c r="G515" s="4" t="s">
        <v>13</v>
      </c>
      <c r="H515" s="5">
        <v>18081.0</v>
      </c>
      <c r="I515" s="4" t="s">
        <v>37</v>
      </c>
    </row>
    <row r="516">
      <c r="A516" s="4" t="s">
        <v>838</v>
      </c>
      <c r="B516" s="4" t="s">
        <v>413</v>
      </c>
      <c r="C516" s="4" t="s">
        <v>76</v>
      </c>
      <c r="D516" s="4" t="s">
        <v>24</v>
      </c>
      <c r="E516" s="4" t="s">
        <v>20</v>
      </c>
      <c r="F516" s="4" t="s">
        <v>41</v>
      </c>
      <c r="G516" s="4" t="s">
        <v>12</v>
      </c>
      <c r="H516" s="5">
        <v>7249.0</v>
      </c>
      <c r="I516" s="4"/>
    </row>
    <row r="517">
      <c r="A517" s="4" t="s">
        <v>839</v>
      </c>
      <c r="B517" s="4" t="s">
        <v>488</v>
      </c>
      <c r="C517" s="4" t="s">
        <v>76</v>
      </c>
      <c r="D517" s="4" t="s">
        <v>24</v>
      </c>
      <c r="E517" s="4" t="s">
        <v>20</v>
      </c>
      <c r="F517" s="4" t="s">
        <v>41</v>
      </c>
      <c r="G517" s="4" t="s">
        <v>11</v>
      </c>
      <c r="H517" s="5">
        <v>8224.0</v>
      </c>
      <c r="I517" s="4" t="s">
        <v>37</v>
      </c>
    </row>
    <row r="518">
      <c r="A518" s="4" t="s">
        <v>840</v>
      </c>
      <c r="B518" s="4" t="s">
        <v>554</v>
      </c>
      <c r="C518" s="4" t="s">
        <v>18</v>
      </c>
      <c r="D518" s="4" t="s">
        <v>16</v>
      </c>
      <c r="E518" s="4" t="s">
        <v>20</v>
      </c>
      <c r="F518" s="4" t="s">
        <v>52</v>
      </c>
      <c r="G518" s="4" t="s">
        <v>12</v>
      </c>
      <c r="H518" s="5">
        <v>15278.0</v>
      </c>
      <c r="I518" s="4" t="s">
        <v>42</v>
      </c>
    </row>
    <row r="519">
      <c r="A519" s="4" t="s">
        <v>841</v>
      </c>
      <c r="B519" s="4" t="s">
        <v>473</v>
      </c>
      <c r="C519" s="4" t="s">
        <v>18</v>
      </c>
      <c r="D519" s="4" t="s">
        <v>16</v>
      </c>
      <c r="E519" s="4" t="s">
        <v>58</v>
      </c>
      <c r="F519" s="4" t="s">
        <v>41</v>
      </c>
      <c r="G519" s="4" t="s">
        <v>13</v>
      </c>
      <c r="H519" s="5">
        <v>15981.0</v>
      </c>
      <c r="I519" s="4" t="s">
        <v>23</v>
      </c>
    </row>
    <row r="520">
      <c r="A520" s="4" t="s">
        <v>842</v>
      </c>
      <c r="B520" s="4" t="s">
        <v>294</v>
      </c>
      <c r="C520" s="4" t="s">
        <v>18</v>
      </c>
      <c r="D520" s="4" t="s">
        <v>16</v>
      </c>
      <c r="E520" s="4" t="s">
        <v>58</v>
      </c>
      <c r="F520" s="4" t="s">
        <v>41</v>
      </c>
      <c r="G520" s="4" t="s">
        <v>12</v>
      </c>
      <c r="H520" s="5">
        <v>13783.0</v>
      </c>
      <c r="I520" s="4" t="s">
        <v>23</v>
      </c>
    </row>
    <row r="521">
      <c r="A521" s="4" t="s">
        <v>843</v>
      </c>
      <c r="B521" s="4" t="s">
        <v>522</v>
      </c>
      <c r="C521" s="4" t="s">
        <v>45</v>
      </c>
      <c r="D521" s="4" t="s">
        <v>22</v>
      </c>
      <c r="E521" s="4" t="s">
        <v>58</v>
      </c>
      <c r="F521" s="4" t="s">
        <v>52</v>
      </c>
      <c r="G521" s="4" t="s">
        <v>13</v>
      </c>
      <c r="H521" s="5">
        <v>15356.0</v>
      </c>
      <c r="I521" s="4"/>
    </row>
    <row r="522">
      <c r="A522" s="4" t="s">
        <v>844</v>
      </c>
      <c r="B522" s="4" t="s">
        <v>612</v>
      </c>
      <c r="C522" s="4" t="s">
        <v>45</v>
      </c>
      <c r="D522" s="4" t="s">
        <v>22</v>
      </c>
      <c r="E522" s="4" t="s">
        <v>58</v>
      </c>
      <c r="F522" s="4" t="s">
        <v>52</v>
      </c>
      <c r="G522" s="4" t="s">
        <v>11</v>
      </c>
      <c r="H522" s="5">
        <v>18756.0</v>
      </c>
      <c r="I522" s="4" t="s">
        <v>37</v>
      </c>
    </row>
    <row r="523">
      <c r="A523" s="4" t="s">
        <v>845</v>
      </c>
      <c r="B523" s="4" t="s">
        <v>772</v>
      </c>
      <c r="C523" s="4" t="s">
        <v>76</v>
      </c>
      <c r="D523" s="4" t="s">
        <v>24</v>
      </c>
      <c r="E523" s="4" t="s">
        <v>46</v>
      </c>
      <c r="F523" s="4" t="s">
        <v>21</v>
      </c>
      <c r="G523" s="4" t="s">
        <v>13</v>
      </c>
      <c r="H523" s="5">
        <v>7607.0</v>
      </c>
      <c r="I523" s="4" t="s">
        <v>42</v>
      </c>
    </row>
    <row r="524">
      <c r="A524" s="4" t="s">
        <v>846</v>
      </c>
      <c r="B524" s="4" t="s">
        <v>679</v>
      </c>
      <c r="C524" s="4" t="s">
        <v>18</v>
      </c>
      <c r="D524" s="4" t="s">
        <v>16</v>
      </c>
      <c r="E524" s="4" t="s">
        <v>46</v>
      </c>
      <c r="F524" s="4" t="s">
        <v>52</v>
      </c>
      <c r="G524" s="4" t="s">
        <v>13</v>
      </c>
      <c r="H524" s="5">
        <v>15218.0</v>
      </c>
      <c r="I524" s="4" t="s">
        <v>47</v>
      </c>
    </row>
    <row r="525">
      <c r="A525" s="4" t="s">
        <v>847</v>
      </c>
      <c r="B525" s="4" t="s">
        <v>274</v>
      </c>
      <c r="C525" s="4" t="s">
        <v>76</v>
      </c>
      <c r="D525" s="4" t="s">
        <v>24</v>
      </c>
      <c r="E525" s="4" t="s">
        <v>58</v>
      </c>
      <c r="F525" s="4" t="s">
        <v>21</v>
      </c>
      <c r="G525" s="4" t="s">
        <v>12</v>
      </c>
      <c r="H525" s="5">
        <v>8988.0</v>
      </c>
      <c r="I525" s="4" t="s">
        <v>42</v>
      </c>
    </row>
    <row r="526">
      <c r="A526" s="4" t="s">
        <v>848</v>
      </c>
      <c r="B526" s="4" t="s">
        <v>811</v>
      </c>
      <c r="C526" s="4" t="s">
        <v>57</v>
      </c>
      <c r="D526" s="4" t="s">
        <v>19</v>
      </c>
      <c r="E526" s="4" t="s">
        <v>58</v>
      </c>
      <c r="F526" s="4" t="s">
        <v>21</v>
      </c>
      <c r="G526" s="4" t="s">
        <v>13</v>
      </c>
      <c r="H526" s="5">
        <v>13532.0</v>
      </c>
      <c r="I526" s="4" t="s">
        <v>42</v>
      </c>
    </row>
    <row r="527">
      <c r="A527" s="4" t="s">
        <v>849</v>
      </c>
      <c r="B527" s="4" t="s">
        <v>166</v>
      </c>
      <c r="C527" s="4" t="s">
        <v>18</v>
      </c>
      <c r="D527" s="4" t="s">
        <v>16</v>
      </c>
      <c r="E527" s="4" t="s">
        <v>58</v>
      </c>
      <c r="F527" s="4" t="s">
        <v>21</v>
      </c>
      <c r="G527" s="4" t="s">
        <v>12</v>
      </c>
      <c r="H527" s="5">
        <v>12973.0</v>
      </c>
      <c r="I527" s="4" t="s">
        <v>37</v>
      </c>
    </row>
    <row r="528">
      <c r="A528" s="4" t="s">
        <v>850</v>
      </c>
      <c r="B528" s="4" t="s">
        <v>160</v>
      </c>
      <c r="C528" s="4" t="s">
        <v>45</v>
      </c>
      <c r="D528" s="4" t="s">
        <v>22</v>
      </c>
      <c r="E528" s="4" t="s">
        <v>46</v>
      </c>
      <c r="F528" s="4" t="s">
        <v>21</v>
      </c>
      <c r="G528" s="4" t="s">
        <v>11</v>
      </c>
      <c r="H528" s="5">
        <v>16273.0</v>
      </c>
      <c r="I528" s="4" t="s">
        <v>47</v>
      </c>
    </row>
    <row r="529">
      <c r="A529" s="4" t="s">
        <v>851</v>
      </c>
      <c r="B529" s="4" t="s">
        <v>852</v>
      </c>
      <c r="C529" s="4" t="s">
        <v>18</v>
      </c>
      <c r="D529" s="4" t="s">
        <v>16</v>
      </c>
      <c r="E529" s="4" t="s">
        <v>46</v>
      </c>
      <c r="F529" s="4" t="s">
        <v>41</v>
      </c>
      <c r="G529" s="4" t="s">
        <v>11</v>
      </c>
      <c r="H529" s="5">
        <v>15990.0</v>
      </c>
      <c r="I529" s="4"/>
    </row>
    <row r="530">
      <c r="A530" s="4" t="s">
        <v>853</v>
      </c>
      <c r="B530" s="4" t="s">
        <v>398</v>
      </c>
      <c r="C530" s="4" t="s">
        <v>45</v>
      </c>
      <c r="D530" s="4" t="s">
        <v>22</v>
      </c>
      <c r="E530" s="4" t="s">
        <v>20</v>
      </c>
      <c r="F530" s="4" t="s">
        <v>21</v>
      </c>
      <c r="G530" s="4" t="s">
        <v>12</v>
      </c>
      <c r="H530" s="5">
        <v>17644.0</v>
      </c>
      <c r="I530" s="4" t="s">
        <v>37</v>
      </c>
    </row>
    <row r="531">
      <c r="A531" s="4" t="s">
        <v>854</v>
      </c>
      <c r="B531" s="4" t="s">
        <v>266</v>
      </c>
      <c r="C531" s="4" t="s">
        <v>76</v>
      </c>
      <c r="D531" s="4" t="s">
        <v>24</v>
      </c>
      <c r="E531" s="4" t="s">
        <v>20</v>
      </c>
      <c r="F531" s="4" t="s">
        <v>21</v>
      </c>
      <c r="G531" s="4" t="s">
        <v>12</v>
      </c>
      <c r="H531" s="5">
        <v>10552.0</v>
      </c>
      <c r="I531" s="4" t="s">
        <v>47</v>
      </c>
    </row>
    <row r="532">
      <c r="A532" s="4" t="s">
        <v>855</v>
      </c>
      <c r="B532" s="4" t="s">
        <v>213</v>
      </c>
      <c r="C532" s="4" t="s">
        <v>57</v>
      </c>
      <c r="D532" s="4" t="s">
        <v>19</v>
      </c>
      <c r="E532" s="4" t="s">
        <v>46</v>
      </c>
      <c r="F532" s="4" t="s">
        <v>21</v>
      </c>
      <c r="G532" s="4" t="s">
        <v>12</v>
      </c>
      <c r="H532" s="5">
        <v>13075.0</v>
      </c>
      <c r="I532" s="4"/>
    </row>
    <row r="533">
      <c r="A533" s="4" t="s">
        <v>856</v>
      </c>
      <c r="B533" s="4" t="s">
        <v>180</v>
      </c>
      <c r="C533" s="4" t="s">
        <v>18</v>
      </c>
      <c r="D533" s="4" t="s">
        <v>16</v>
      </c>
      <c r="E533" s="4" t="s">
        <v>46</v>
      </c>
      <c r="F533" s="4" t="s">
        <v>41</v>
      </c>
      <c r="G533" s="4" t="s">
        <v>13</v>
      </c>
      <c r="H533" s="5">
        <v>15428.0</v>
      </c>
      <c r="I533" s="4" t="s">
        <v>37</v>
      </c>
    </row>
    <row r="534">
      <c r="A534" s="4" t="s">
        <v>857</v>
      </c>
      <c r="B534" s="4" t="s">
        <v>589</v>
      </c>
      <c r="C534" s="4" t="s">
        <v>18</v>
      </c>
      <c r="D534" s="4" t="s">
        <v>16</v>
      </c>
      <c r="E534" s="4" t="s">
        <v>58</v>
      </c>
      <c r="F534" s="4" t="s">
        <v>52</v>
      </c>
      <c r="G534" s="4" t="s">
        <v>13</v>
      </c>
      <c r="H534" s="5">
        <v>13122.0</v>
      </c>
      <c r="I534" s="4" t="s">
        <v>47</v>
      </c>
    </row>
    <row r="535">
      <c r="A535" s="4" t="s">
        <v>858</v>
      </c>
      <c r="B535" s="4" t="s">
        <v>427</v>
      </c>
      <c r="C535" s="4" t="s">
        <v>76</v>
      </c>
      <c r="D535" s="4" t="s">
        <v>24</v>
      </c>
      <c r="E535" s="4" t="s">
        <v>20</v>
      </c>
      <c r="F535" s="4" t="s">
        <v>41</v>
      </c>
      <c r="G535" s="4" t="s">
        <v>12</v>
      </c>
      <c r="H535" s="5">
        <v>7125.0</v>
      </c>
      <c r="I535" s="4" t="s">
        <v>23</v>
      </c>
    </row>
    <row r="536">
      <c r="A536" s="4" t="s">
        <v>859</v>
      </c>
      <c r="B536" s="4" t="s">
        <v>700</v>
      </c>
      <c r="C536" s="4" t="s">
        <v>76</v>
      </c>
      <c r="D536" s="4" t="s">
        <v>24</v>
      </c>
      <c r="E536" s="4" t="s">
        <v>46</v>
      </c>
      <c r="F536" s="4" t="s">
        <v>21</v>
      </c>
      <c r="G536" s="4" t="s">
        <v>12</v>
      </c>
      <c r="H536" s="5">
        <v>9258.0</v>
      </c>
      <c r="I536" s="4" t="s">
        <v>47</v>
      </c>
    </row>
    <row r="537">
      <c r="A537" s="4" t="s">
        <v>860</v>
      </c>
      <c r="B537" s="4" t="s">
        <v>719</v>
      </c>
      <c r="C537" s="4" t="s">
        <v>45</v>
      </c>
      <c r="D537" s="4" t="s">
        <v>22</v>
      </c>
      <c r="E537" s="4" t="s">
        <v>20</v>
      </c>
      <c r="F537" s="4" t="s">
        <v>52</v>
      </c>
      <c r="G537" s="4" t="s">
        <v>13</v>
      </c>
      <c r="H537" s="5">
        <v>16167.0</v>
      </c>
      <c r="I537" s="4" t="s">
        <v>37</v>
      </c>
    </row>
    <row r="538">
      <c r="A538" s="4" t="s">
        <v>861</v>
      </c>
      <c r="B538" s="4" t="s">
        <v>302</v>
      </c>
      <c r="C538" s="4" t="s">
        <v>57</v>
      </c>
      <c r="D538" s="4" t="s">
        <v>19</v>
      </c>
      <c r="E538" s="4" t="s">
        <v>46</v>
      </c>
      <c r="F538" s="4" t="s">
        <v>52</v>
      </c>
      <c r="G538" s="4" t="s">
        <v>13</v>
      </c>
      <c r="H538" s="5">
        <v>13775.0</v>
      </c>
      <c r="I538" s="4" t="s">
        <v>23</v>
      </c>
    </row>
    <row r="539">
      <c r="A539" s="4" t="s">
        <v>862</v>
      </c>
      <c r="B539" s="4" t="s">
        <v>119</v>
      </c>
      <c r="C539" s="4" t="s">
        <v>18</v>
      </c>
      <c r="D539" s="4" t="s">
        <v>16</v>
      </c>
      <c r="E539" s="4" t="s">
        <v>20</v>
      </c>
      <c r="F539" s="4" t="s">
        <v>41</v>
      </c>
      <c r="G539" s="4" t="s">
        <v>11</v>
      </c>
      <c r="H539" s="5">
        <v>15733.0</v>
      </c>
      <c r="I539" s="4" t="s">
        <v>23</v>
      </c>
    </row>
    <row r="540">
      <c r="A540" s="4" t="s">
        <v>863</v>
      </c>
      <c r="B540" s="4" t="s">
        <v>820</v>
      </c>
      <c r="C540" s="4" t="s">
        <v>18</v>
      </c>
      <c r="D540" s="4" t="s">
        <v>16</v>
      </c>
      <c r="E540" s="4" t="s">
        <v>46</v>
      </c>
      <c r="F540" s="4" t="s">
        <v>21</v>
      </c>
      <c r="G540" s="4" t="s">
        <v>12</v>
      </c>
      <c r="H540" s="5">
        <v>15297.0</v>
      </c>
      <c r="I540" s="4" t="s">
        <v>47</v>
      </c>
    </row>
    <row r="541">
      <c r="A541" s="4" t="s">
        <v>864</v>
      </c>
      <c r="B541" s="4" t="s">
        <v>865</v>
      </c>
      <c r="C541" s="4" t="s">
        <v>45</v>
      </c>
      <c r="D541" s="4" t="s">
        <v>22</v>
      </c>
      <c r="E541" s="4" t="s">
        <v>58</v>
      </c>
      <c r="F541" s="4" t="s">
        <v>21</v>
      </c>
      <c r="G541" s="4" t="s">
        <v>11</v>
      </c>
      <c r="H541" s="5">
        <v>16880.0</v>
      </c>
      <c r="I541" s="4" t="s">
        <v>47</v>
      </c>
    </row>
    <row r="542">
      <c r="A542" s="4" t="s">
        <v>866</v>
      </c>
      <c r="B542" s="4" t="s">
        <v>160</v>
      </c>
      <c r="C542" s="4" t="s">
        <v>76</v>
      </c>
      <c r="D542" s="4" t="s">
        <v>24</v>
      </c>
      <c r="E542" s="4" t="s">
        <v>20</v>
      </c>
      <c r="F542" s="4" t="s">
        <v>41</v>
      </c>
      <c r="G542" s="4" t="s">
        <v>13</v>
      </c>
      <c r="H542" s="5">
        <v>9095.0</v>
      </c>
      <c r="I542" s="4" t="s">
        <v>47</v>
      </c>
    </row>
    <row r="543">
      <c r="A543" s="4" t="s">
        <v>867</v>
      </c>
      <c r="B543" s="4" t="s">
        <v>207</v>
      </c>
      <c r="C543" s="4" t="s">
        <v>45</v>
      </c>
      <c r="D543" s="4" t="s">
        <v>22</v>
      </c>
      <c r="E543" s="4" t="s">
        <v>58</v>
      </c>
      <c r="F543" s="4" t="s">
        <v>52</v>
      </c>
      <c r="G543" s="4" t="s">
        <v>13</v>
      </c>
      <c r="H543" s="5">
        <v>16973.0</v>
      </c>
      <c r="I543" s="4" t="s">
        <v>37</v>
      </c>
    </row>
    <row r="544">
      <c r="A544" s="4" t="s">
        <v>868</v>
      </c>
      <c r="B544" s="4" t="s">
        <v>379</v>
      </c>
      <c r="C544" s="4" t="s">
        <v>45</v>
      </c>
      <c r="D544" s="4" t="s">
        <v>22</v>
      </c>
      <c r="E544" s="4" t="s">
        <v>58</v>
      </c>
      <c r="F544" s="4" t="s">
        <v>21</v>
      </c>
      <c r="G544" s="4" t="s">
        <v>12</v>
      </c>
      <c r="H544" s="5">
        <v>17912.0</v>
      </c>
      <c r="I544" s="4" t="s">
        <v>47</v>
      </c>
    </row>
    <row r="545">
      <c r="A545" s="4" t="s">
        <v>869</v>
      </c>
      <c r="B545" s="4" t="s">
        <v>540</v>
      </c>
      <c r="C545" s="4" t="s">
        <v>57</v>
      </c>
      <c r="D545" s="4" t="s">
        <v>19</v>
      </c>
      <c r="E545" s="4" t="s">
        <v>46</v>
      </c>
      <c r="F545" s="4" t="s">
        <v>52</v>
      </c>
      <c r="G545" s="4" t="s">
        <v>11</v>
      </c>
      <c r="H545" s="5">
        <v>13705.0</v>
      </c>
      <c r="I545" s="4" t="s">
        <v>47</v>
      </c>
    </row>
    <row r="546">
      <c r="A546" s="4" t="s">
        <v>870</v>
      </c>
      <c r="B546" s="4" t="s">
        <v>372</v>
      </c>
      <c r="C546" s="4" t="s">
        <v>18</v>
      </c>
      <c r="D546" s="4" t="s">
        <v>16</v>
      </c>
      <c r="E546" s="4" t="s">
        <v>20</v>
      </c>
      <c r="F546" s="4" t="s">
        <v>21</v>
      </c>
      <c r="G546" s="4" t="s">
        <v>11</v>
      </c>
      <c r="H546" s="5">
        <v>13062.0</v>
      </c>
      <c r="I546" s="4"/>
    </row>
    <row r="547">
      <c r="A547" s="4" t="s">
        <v>871</v>
      </c>
      <c r="B547" s="4" t="s">
        <v>134</v>
      </c>
      <c r="C547" s="4" t="s">
        <v>18</v>
      </c>
      <c r="D547" s="4" t="s">
        <v>16</v>
      </c>
      <c r="E547" s="4" t="s">
        <v>20</v>
      </c>
      <c r="F547" s="4" t="s">
        <v>52</v>
      </c>
      <c r="G547" s="4" t="s">
        <v>12</v>
      </c>
      <c r="H547" s="5">
        <v>15342.0</v>
      </c>
      <c r="I547" s="4" t="s">
        <v>23</v>
      </c>
    </row>
    <row r="548">
      <c r="A548" s="4" t="s">
        <v>872</v>
      </c>
      <c r="B548" s="4" t="s">
        <v>439</v>
      </c>
      <c r="C548" s="4" t="s">
        <v>57</v>
      </c>
      <c r="D548" s="4" t="s">
        <v>19</v>
      </c>
      <c r="E548" s="4" t="s">
        <v>20</v>
      </c>
      <c r="F548" s="4" t="s">
        <v>52</v>
      </c>
      <c r="G548" s="4" t="s">
        <v>12</v>
      </c>
      <c r="H548" s="5">
        <v>14214.0</v>
      </c>
      <c r="I548" s="4"/>
    </row>
    <row r="549">
      <c r="A549" s="4" t="s">
        <v>873</v>
      </c>
      <c r="B549" s="4" t="s">
        <v>413</v>
      </c>
      <c r="C549" s="4" t="s">
        <v>45</v>
      </c>
      <c r="D549" s="4" t="s">
        <v>22</v>
      </c>
      <c r="E549" s="4" t="s">
        <v>46</v>
      </c>
      <c r="F549" s="4" t="s">
        <v>52</v>
      </c>
      <c r="G549" s="4" t="s">
        <v>12</v>
      </c>
      <c r="H549" s="5">
        <v>15741.0</v>
      </c>
      <c r="I549" s="4" t="s">
        <v>47</v>
      </c>
    </row>
    <row r="550">
      <c r="A550" s="4" t="s">
        <v>874</v>
      </c>
      <c r="B550" s="4" t="s">
        <v>608</v>
      </c>
      <c r="C550" s="4" t="s">
        <v>45</v>
      </c>
      <c r="D550" s="4" t="s">
        <v>22</v>
      </c>
      <c r="E550" s="4" t="s">
        <v>20</v>
      </c>
      <c r="F550" s="4" t="s">
        <v>52</v>
      </c>
      <c r="G550" s="4" t="s">
        <v>13</v>
      </c>
      <c r="H550" s="5">
        <v>18878.0</v>
      </c>
      <c r="I550" s="4" t="s">
        <v>47</v>
      </c>
    </row>
    <row r="551">
      <c r="A551" s="4" t="s">
        <v>875</v>
      </c>
      <c r="B551" s="4" t="s">
        <v>310</v>
      </c>
      <c r="C551" s="4" t="s">
        <v>45</v>
      </c>
      <c r="D551" s="4" t="s">
        <v>22</v>
      </c>
      <c r="E551" s="4" t="s">
        <v>46</v>
      </c>
      <c r="F551" s="4" t="s">
        <v>52</v>
      </c>
      <c r="G551" s="4" t="s">
        <v>11</v>
      </c>
      <c r="H551" s="5">
        <v>16722.0</v>
      </c>
      <c r="I551" s="4" t="s">
        <v>47</v>
      </c>
    </row>
    <row r="552">
      <c r="A552" s="4" t="s">
        <v>876</v>
      </c>
      <c r="B552" s="4" t="s">
        <v>154</v>
      </c>
      <c r="C552" s="4" t="s">
        <v>45</v>
      </c>
      <c r="D552" s="4" t="s">
        <v>22</v>
      </c>
      <c r="E552" s="4" t="s">
        <v>58</v>
      </c>
      <c r="F552" s="4" t="s">
        <v>41</v>
      </c>
      <c r="G552" s="4" t="s">
        <v>11</v>
      </c>
      <c r="H552" s="5">
        <v>15219.0</v>
      </c>
      <c r="I552" s="4" t="s">
        <v>42</v>
      </c>
    </row>
    <row r="553">
      <c r="A553" s="4" t="s">
        <v>877</v>
      </c>
      <c r="B553" s="4" t="s">
        <v>141</v>
      </c>
      <c r="C553" s="4" t="s">
        <v>76</v>
      </c>
      <c r="D553" s="4" t="s">
        <v>24</v>
      </c>
      <c r="E553" s="4" t="s">
        <v>46</v>
      </c>
      <c r="F553" s="4" t="s">
        <v>52</v>
      </c>
      <c r="G553" s="4" t="s">
        <v>13</v>
      </c>
      <c r="H553" s="5">
        <v>10553.0</v>
      </c>
      <c r="I553" s="4"/>
    </row>
    <row r="554">
      <c r="A554" s="4" t="s">
        <v>878</v>
      </c>
      <c r="B554" s="4" t="s">
        <v>89</v>
      </c>
      <c r="C554" s="4" t="s">
        <v>18</v>
      </c>
      <c r="D554" s="4" t="s">
        <v>16</v>
      </c>
      <c r="E554" s="4" t="s">
        <v>46</v>
      </c>
      <c r="F554" s="4" t="s">
        <v>41</v>
      </c>
      <c r="G554" s="4" t="s">
        <v>13</v>
      </c>
      <c r="H554" s="5">
        <v>13403.0</v>
      </c>
      <c r="I554" s="4"/>
    </row>
    <row r="555">
      <c r="A555" s="4" t="s">
        <v>879</v>
      </c>
      <c r="B555" s="4" t="s">
        <v>545</v>
      </c>
      <c r="C555" s="4" t="s">
        <v>57</v>
      </c>
      <c r="D555" s="4" t="s">
        <v>19</v>
      </c>
      <c r="E555" s="4" t="s">
        <v>58</v>
      </c>
      <c r="F555" s="4" t="s">
        <v>52</v>
      </c>
      <c r="G555" s="4" t="s">
        <v>13</v>
      </c>
      <c r="H555" s="5">
        <v>14190.0</v>
      </c>
      <c r="I555" s="4" t="s">
        <v>37</v>
      </c>
    </row>
    <row r="556">
      <c r="A556" s="4" t="s">
        <v>880</v>
      </c>
      <c r="B556" s="4" t="s">
        <v>192</v>
      </c>
      <c r="C556" s="4" t="s">
        <v>57</v>
      </c>
      <c r="D556" s="4" t="s">
        <v>19</v>
      </c>
      <c r="E556" s="4" t="s">
        <v>58</v>
      </c>
      <c r="F556" s="4" t="s">
        <v>52</v>
      </c>
      <c r="G556" s="4" t="s">
        <v>13</v>
      </c>
      <c r="H556" s="5">
        <v>11019.0</v>
      </c>
      <c r="I556" s="4"/>
    </row>
    <row r="557">
      <c r="A557" s="4" t="s">
        <v>881</v>
      </c>
      <c r="B557" s="4" t="s">
        <v>501</v>
      </c>
      <c r="C557" s="4" t="s">
        <v>57</v>
      </c>
      <c r="D557" s="4" t="s">
        <v>19</v>
      </c>
      <c r="E557" s="4" t="s">
        <v>20</v>
      </c>
      <c r="F557" s="4" t="s">
        <v>41</v>
      </c>
      <c r="G557" s="4" t="s">
        <v>11</v>
      </c>
      <c r="H557" s="5">
        <v>14216.0</v>
      </c>
      <c r="I557" s="4" t="s">
        <v>37</v>
      </c>
    </row>
    <row r="558">
      <c r="A558" s="4" t="s">
        <v>882</v>
      </c>
      <c r="B558" s="4" t="s">
        <v>434</v>
      </c>
      <c r="C558" s="4" t="s">
        <v>76</v>
      </c>
      <c r="D558" s="4" t="s">
        <v>24</v>
      </c>
      <c r="E558" s="4" t="s">
        <v>58</v>
      </c>
      <c r="F558" s="4" t="s">
        <v>21</v>
      </c>
      <c r="G558" s="4" t="s">
        <v>11</v>
      </c>
      <c r="H558" s="5">
        <v>8570.0</v>
      </c>
      <c r="I558" s="4" t="s">
        <v>37</v>
      </c>
    </row>
    <row r="559">
      <c r="A559" s="4" t="s">
        <v>883</v>
      </c>
      <c r="B559" s="4" t="s">
        <v>443</v>
      </c>
      <c r="C559" s="4" t="s">
        <v>45</v>
      </c>
      <c r="D559" s="4" t="s">
        <v>22</v>
      </c>
      <c r="E559" s="4" t="s">
        <v>46</v>
      </c>
      <c r="F559" s="4" t="s">
        <v>21</v>
      </c>
      <c r="G559" s="4" t="s">
        <v>12</v>
      </c>
      <c r="H559" s="5">
        <v>15780.0</v>
      </c>
      <c r="I559" s="4" t="s">
        <v>37</v>
      </c>
    </row>
    <row r="560">
      <c r="A560" s="4" t="s">
        <v>884</v>
      </c>
      <c r="B560" s="4" t="s">
        <v>85</v>
      </c>
      <c r="C560" s="4" t="s">
        <v>57</v>
      </c>
      <c r="D560" s="4" t="s">
        <v>19</v>
      </c>
      <c r="E560" s="4" t="s">
        <v>46</v>
      </c>
      <c r="F560" s="4" t="s">
        <v>52</v>
      </c>
      <c r="G560" s="4" t="s">
        <v>11</v>
      </c>
      <c r="H560" s="5">
        <v>12278.0</v>
      </c>
      <c r="I560" s="4" t="s">
        <v>23</v>
      </c>
    </row>
    <row r="561">
      <c r="A561" s="4" t="s">
        <v>885</v>
      </c>
      <c r="B561" s="4" t="s">
        <v>612</v>
      </c>
      <c r="C561" s="4" t="s">
        <v>45</v>
      </c>
      <c r="D561" s="4" t="s">
        <v>22</v>
      </c>
      <c r="E561" s="4" t="s">
        <v>46</v>
      </c>
      <c r="F561" s="4" t="s">
        <v>41</v>
      </c>
      <c r="G561" s="4" t="s">
        <v>13</v>
      </c>
      <c r="H561" s="5">
        <v>16221.0</v>
      </c>
      <c r="I561" s="4" t="s">
        <v>47</v>
      </c>
    </row>
    <row r="562">
      <c r="A562" s="4" t="s">
        <v>886</v>
      </c>
      <c r="B562" s="4" t="s">
        <v>136</v>
      </c>
      <c r="C562" s="4" t="s">
        <v>45</v>
      </c>
      <c r="D562" s="4" t="s">
        <v>22</v>
      </c>
      <c r="E562" s="4" t="s">
        <v>58</v>
      </c>
      <c r="F562" s="4" t="s">
        <v>52</v>
      </c>
      <c r="G562" s="4" t="s">
        <v>13</v>
      </c>
      <c r="H562" s="5">
        <v>16403.0</v>
      </c>
      <c r="I562" s="4"/>
    </row>
    <row r="563">
      <c r="A563" s="4" t="s">
        <v>887</v>
      </c>
      <c r="B563" s="4" t="s">
        <v>388</v>
      </c>
      <c r="C563" s="4" t="s">
        <v>57</v>
      </c>
      <c r="D563" s="4" t="s">
        <v>19</v>
      </c>
      <c r="E563" s="4" t="s">
        <v>58</v>
      </c>
      <c r="F563" s="4" t="s">
        <v>41</v>
      </c>
      <c r="G563" s="4" t="s">
        <v>13</v>
      </c>
      <c r="H563" s="5">
        <v>11918.0</v>
      </c>
      <c r="I563" s="4" t="s">
        <v>23</v>
      </c>
    </row>
    <row r="564">
      <c r="A564" s="4" t="s">
        <v>888</v>
      </c>
      <c r="B564" s="4" t="s">
        <v>564</v>
      </c>
      <c r="C564" s="4" t="s">
        <v>57</v>
      </c>
      <c r="D564" s="4" t="s">
        <v>19</v>
      </c>
      <c r="E564" s="4" t="s">
        <v>46</v>
      </c>
      <c r="F564" s="4" t="s">
        <v>21</v>
      </c>
      <c r="G564" s="4" t="s">
        <v>12</v>
      </c>
      <c r="H564" s="5">
        <v>13664.0</v>
      </c>
      <c r="I564" s="4" t="s">
        <v>37</v>
      </c>
    </row>
    <row r="565">
      <c r="A565" s="4" t="s">
        <v>889</v>
      </c>
      <c r="B565" s="4" t="s">
        <v>62</v>
      </c>
      <c r="C565" s="4" t="s">
        <v>45</v>
      </c>
      <c r="D565" s="4" t="s">
        <v>22</v>
      </c>
      <c r="E565" s="4" t="s">
        <v>20</v>
      </c>
      <c r="F565" s="4" t="s">
        <v>52</v>
      </c>
      <c r="G565" s="4" t="s">
        <v>13</v>
      </c>
      <c r="H565" s="5">
        <v>17432.0</v>
      </c>
      <c r="I565" s="4" t="s">
        <v>37</v>
      </c>
    </row>
    <row r="566">
      <c r="A566" s="4" t="s">
        <v>890</v>
      </c>
      <c r="B566" s="4" t="s">
        <v>36</v>
      </c>
      <c r="C566" s="4" t="s">
        <v>18</v>
      </c>
      <c r="D566" s="4" t="s">
        <v>16</v>
      </c>
      <c r="E566" s="4" t="s">
        <v>46</v>
      </c>
      <c r="F566" s="4" t="s">
        <v>52</v>
      </c>
      <c r="G566" s="4" t="s">
        <v>13</v>
      </c>
      <c r="H566" s="5">
        <v>13707.0</v>
      </c>
      <c r="I566" s="4"/>
    </row>
    <row r="567">
      <c r="A567" s="4" t="s">
        <v>891</v>
      </c>
      <c r="B567" s="4" t="s">
        <v>300</v>
      </c>
      <c r="C567" s="4" t="s">
        <v>45</v>
      </c>
      <c r="D567" s="4" t="s">
        <v>22</v>
      </c>
      <c r="E567" s="4" t="s">
        <v>58</v>
      </c>
      <c r="F567" s="4" t="s">
        <v>52</v>
      </c>
      <c r="G567" s="4" t="s">
        <v>13</v>
      </c>
      <c r="H567" s="5">
        <v>15841.0</v>
      </c>
      <c r="I567" s="4" t="s">
        <v>37</v>
      </c>
    </row>
    <row r="568">
      <c r="A568" s="4" t="s">
        <v>892</v>
      </c>
      <c r="B568" s="4" t="s">
        <v>366</v>
      </c>
      <c r="C568" s="4" t="s">
        <v>18</v>
      </c>
      <c r="D568" s="4" t="s">
        <v>16</v>
      </c>
      <c r="E568" s="4" t="s">
        <v>20</v>
      </c>
      <c r="F568" s="4" t="s">
        <v>52</v>
      </c>
      <c r="G568" s="4" t="s">
        <v>11</v>
      </c>
      <c r="H568" s="5">
        <v>14550.0</v>
      </c>
      <c r="I568" s="4" t="s">
        <v>42</v>
      </c>
    </row>
    <row r="569">
      <c r="A569" s="4" t="s">
        <v>893</v>
      </c>
      <c r="B569" s="4" t="s">
        <v>463</v>
      </c>
      <c r="C569" s="4" t="s">
        <v>18</v>
      </c>
      <c r="D569" s="4" t="s">
        <v>16</v>
      </c>
      <c r="E569" s="4" t="s">
        <v>20</v>
      </c>
      <c r="F569" s="4" t="s">
        <v>52</v>
      </c>
      <c r="G569" s="4" t="s">
        <v>12</v>
      </c>
      <c r="H569" s="5">
        <v>12482.0</v>
      </c>
      <c r="I569" s="4" t="s">
        <v>47</v>
      </c>
    </row>
    <row r="570">
      <c r="A570" s="4" t="s">
        <v>894</v>
      </c>
      <c r="B570" s="4" t="s">
        <v>752</v>
      </c>
      <c r="C570" s="4" t="s">
        <v>76</v>
      </c>
      <c r="D570" s="4" t="s">
        <v>24</v>
      </c>
      <c r="E570" s="4" t="s">
        <v>46</v>
      </c>
      <c r="F570" s="4" t="s">
        <v>52</v>
      </c>
      <c r="G570" s="4" t="s">
        <v>13</v>
      </c>
      <c r="H570" s="5">
        <v>10186.0</v>
      </c>
      <c r="I570" s="4" t="s">
        <v>47</v>
      </c>
    </row>
    <row r="571">
      <c r="A571" s="4" t="s">
        <v>895</v>
      </c>
      <c r="B571" s="4" t="s">
        <v>443</v>
      </c>
      <c r="C571" s="4" t="s">
        <v>45</v>
      </c>
      <c r="D571" s="4" t="s">
        <v>22</v>
      </c>
      <c r="E571" s="4" t="s">
        <v>20</v>
      </c>
      <c r="F571" s="4" t="s">
        <v>21</v>
      </c>
      <c r="G571" s="4" t="s">
        <v>11</v>
      </c>
      <c r="H571" s="5">
        <v>15656.0</v>
      </c>
      <c r="I571" s="4" t="s">
        <v>37</v>
      </c>
    </row>
    <row r="572">
      <c r="A572" s="4" t="s">
        <v>896</v>
      </c>
      <c r="B572" s="4" t="s">
        <v>266</v>
      </c>
      <c r="C572" s="4" t="s">
        <v>76</v>
      </c>
      <c r="D572" s="4" t="s">
        <v>24</v>
      </c>
      <c r="E572" s="4" t="s">
        <v>58</v>
      </c>
      <c r="F572" s="4" t="s">
        <v>41</v>
      </c>
      <c r="G572" s="4" t="s">
        <v>13</v>
      </c>
      <c r="H572" s="5">
        <v>7052.0</v>
      </c>
      <c r="I572" s="4" t="s">
        <v>37</v>
      </c>
    </row>
    <row r="573">
      <c r="A573" s="4" t="s">
        <v>897</v>
      </c>
      <c r="B573" s="4" t="s">
        <v>202</v>
      </c>
      <c r="C573" s="4" t="s">
        <v>76</v>
      </c>
      <c r="D573" s="4" t="s">
        <v>24</v>
      </c>
      <c r="E573" s="4" t="s">
        <v>46</v>
      </c>
      <c r="F573" s="4" t="s">
        <v>41</v>
      </c>
      <c r="G573" s="4" t="s">
        <v>12</v>
      </c>
      <c r="H573" s="5">
        <v>7307.0</v>
      </c>
      <c r="I573" s="4" t="s">
        <v>37</v>
      </c>
    </row>
    <row r="574">
      <c r="A574" s="4" t="s">
        <v>898</v>
      </c>
      <c r="B574" s="4" t="s">
        <v>379</v>
      </c>
      <c r="C574" s="4" t="s">
        <v>57</v>
      </c>
      <c r="D574" s="4" t="s">
        <v>19</v>
      </c>
      <c r="E574" s="4" t="s">
        <v>58</v>
      </c>
      <c r="F574" s="4" t="s">
        <v>21</v>
      </c>
      <c r="G574" s="4" t="s">
        <v>11</v>
      </c>
      <c r="H574" s="5">
        <v>12901.0</v>
      </c>
      <c r="I574" s="4" t="s">
        <v>37</v>
      </c>
    </row>
    <row r="575">
      <c r="A575" s="4" t="s">
        <v>899</v>
      </c>
      <c r="B575" s="4" t="s">
        <v>512</v>
      </c>
      <c r="C575" s="4" t="s">
        <v>18</v>
      </c>
      <c r="D575" s="4" t="s">
        <v>16</v>
      </c>
      <c r="E575" s="4" t="s">
        <v>58</v>
      </c>
      <c r="F575" s="4" t="s">
        <v>21</v>
      </c>
      <c r="G575" s="4" t="s">
        <v>12</v>
      </c>
      <c r="H575" s="5">
        <v>13280.0</v>
      </c>
      <c r="I575" s="4"/>
    </row>
    <row r="576">
      <c r="A576" s="4" t="s">
        <v>900</v>
      </c>
      <c r="B576" s="4" t="s">
        <v>102</v>
      </c>
      <c r="C576" s="4" t="s">
        <v>18</v>
      </c>
      <c r="D576" s="4" t="s">
        <v>16</v>
      </c>
      <c r="E576" s="4" t="s">
        <v>46</v>
      </c>
      <c r="F576" s="4" t="s">
        <v>41</v>
      </c>
      <c r="G576" s="4" t="s">
        <v>12</v>
      </c>
      <c r="H576" s="5">
        <v>14650.0</v>
      </c>
      <c r="I576" s="4" t="s">
        <v>23</v>
      </c>
    </row>
    <row r="577">
      <c r="A577" s="4" t="s">
        <v>901</v>
      </c>
      <c r="B577" s="4" t="s">
        <v>902</v>
      </c>
      <c r="C577" s="4" t="s">
        <v>45</v>
      </c>
      <c r="D577" s="4" t="s">
        <v>22</v>
      </c>
      <c r="E577" s="4" t="s">
        <v>20</v>
      </c>
      <c r="F577" s="4" t="s">
        <v>41</v>
      </c>
      <c r="G577" s="4" t="s">
        <v>11</v>
      </c>
      <c r="H577" s="5">
        <v>18338.0</v>
      </c>
      <c r="I577" s="4" t="s">
        <v>47</v>
      </c>
    </row>
    <row r="578">
      <c r="A578" s="4" t="s">
        <v>903</v>
      </c>
      <c r="B578" s="4" t="s">
        <v>82</v>
      </c>
      <c r="C578" s="4" t="s">
        <v>76</v>
      </c>
      <c r="D578" s="4" t="s">
        <v>24</v>
      </c>
      <c r="E578" s="4" t="s">
        <v>58</v>
      </c>
      <c r="F578" s="4" t="s">
        <v>21</v>
      </c>
      <c r="G578" s="4" t="s">
        <v>11</v>
      </c>
      <c r="H578" s="5">
        <v>9825.0</v>
      </c>
      <c r="I578" s="4"/>
    </row>
    <row r="579">
      <c r="A579" s="4" t="s">
        <v>904</v>
      </c>
      <c r="B579" s="4" t="s">
        <v>366</v>
      </c>
      <c r="C579" s="4" t="s">
        <v>57</v>
      </c>
      <c r="D579" s="4" t="s">
        <v>19</v>
      </c>
      <c r="E579" s="4" t="s">
        <v>46</v>
      </c>
      <c r="F579" s="4" t="s">
        <v>41</v>
      </c>
      <c r="G579" s="4" t="s">
        <v>12</v>
      </c>
      <c r="H579" s="5">
        <v>13975.0</v>
      </c>
      <c r="I579" s="4" t="s">
        <v>37</v>
      </c>
    </row>
    <row r="580">
      <c r="A580" s="4" t="s">
        <v>905</v>
      </c>
      <c r="B580" s="4" t="s">
        <v>512</v>
      </c>
      <c r="C580" s="4" t="s">
        <v>18</v>
      </c>
      <c r="D580" s="4" t="s">
        <v>16</v>
      </c>
      <c r="E580" s="4" t="s">
        <v>58</v>
      </c>
      <c r="F580" s="4" t="s">
        <v>52</v>
      </c>
      <c r="G580" s="4" t="s">
        <v>11</v>
      </c>
      <c r="H580" s="5">
        <v>15286.0</v>
      </c>
      <c r="I580" s="4" t="s">
        <v>42</v>
      </c>
    </row>
    <row r="581">
      <c r="A581" s="4" t="s">
        <v>906</v>
      </c>
      <c r="B581" s="4" t="s">
        <v>608</v>
      </c>
      <c r="C581" s="4" t="s">
        <v>76</v>
      </c>
      <c r="D581" s="4" t="s">
        <v>24</v>
      </c>
      <c r="E581" s="4" t="s">
        <v>58</v>
      </c>
      <c r="F581" s="4" t="s">
        <v>52</v>
      </c>
      <c r="G581" s="4" t="s">
        <v>13</v>
      </c>
      <c r="H581" s="5">
        <v>10533.0</v>
      </c>
      <c r="I581" s="4" t="s">
        <v>23</v>
      </c>
    </row>
    <row r="582">
      <c r="A582" s="4" t="s">
        <v>907</v>
      </c>
      <c r="B582" s="4" t="s">
        <v>545</v>
      </c>
      <c r="C582" s="4" t="s">
        <v>18</v>
      </c>
      <c r="D582" s="4" t="s">
        <v>16</v>
      </c>
      <c r="E582" s="4" t="s">
        <v>58</v>
      </c>
      <c r="F582" s="4" t="s">
        <v>21</v>
      </c>
      <c r="G582" s="4" t="s">
        <v>13</v>
      </c>
      <c r="H582" s="5">
        <v>12259.0</v>
      </c>
      <c r="I582" s="4" t="s">
        <v>47</v>
      </c>
    </row>
    <row r="583">
      <c r="A583" s="4" t="s">
        <v>908</v>
      </c>
      <c r="B583" s="4" t="s">
        <v>424</v>
      </c>
      <c r="C583" s="4" t="s">
        <v>57</v>
      </c>
      <c r="D583" s="4" t="s">
        <v>19</v>
      </c>
      <c r="E583" s="4" t="s">
        <v>20</v>
      </c>
      <c r="F583" s="4" t="s">
        <v>21</v>
      </c>
      <c r="G583" s="4" t="s">
        <v>12</v>
      </c>
      <c r="H583" s="5">
        <v>13142.0</v>
      </c>
      <c r="I583" s="4" t="s">
        <v>42</v>
      </c>
    </row>
    <row r="584">
      <c r="A584" s="4" t="s">
        <v>909</v>
      </c>
      <c r="B584" s="4" t="s">
        <v>366</v>
      </c>
      <c r="C584" s="4" t="s">
        <v>57</v>
      </c>
      <c r="D584" s="4" t="s">
        <v>19</v>
      </c>
      <c r="E584" s="4" t="s">
        <v>58</v>
      </c>
      <c r="F584" s="4" t="s">
        <v>21</v>
      </c>
      <c r="G584" s="4" t="s">
        <v>12</v>
      </c>
      <c r="H584" s="5">
        <v>13770.0</v>
      </c>
      <c r="I584" s="4"/>
    </row>
    <row r="585">
      <c r="A585" s="4" t="s">
        <v>910</v>
      </c>
      <c r="B585" s="4" t="s">
        <v>415</v>
      </c>
      <c r="C585" s="4" t="s">
        <v>18</v>
      </c>
      <c r="D585" s="4" t="s">
        <v>16</v>
      </c>
      <c r="E585" s="4" t="s">
        <v>46</v>
      </c>
      <c r="F585" s="4" t="s">
        <v>52</v>
      </c>
      <c r="G585" s="4" t="s">
        <v>13</v>
      </c>
      <c r="H585" s="5">
        <v>14070.0</v>
      </c>
      <c r="I585" s="4"/>
    </row>
    <row r="586">
      <c r="A586" s="4" t="s">
        <v>911</v>
      </c>
      <c r="B586" s="4" t="s">
        <v>852</v>
      </c>
      <c r="C586" s="4" t="s">
        <v>57</v>
      </c>
      <c r="D586" s="4" t="s">
        <v>19</v>
      </c>
      <c r="E586" s="4" t="s">
        <v>46</v>
      </c>
      <c r="F586" s="4" t="s">
        <v>21</v>
      </c>
      <c r="G586" s="4" t="s">
        <v>11</v>
      </c>
      <c r="H586" s="5">
        <v>11986.0</v>
      </c>
      <c r="I586" s="4" t="s">
        <v>47</v>
      </c>
    </row>
    <row r="587">
      <c r="A587" s="4" t="s">
        <v>912</v>
      </c>
      <c r="B587" s="4" t="s">
        <v>213</v>
      </c>
      <c r="C587" s="4" t="s">
        <v>57</v>
      </c>
      <c r="D587" s="4" t="s">
        <v>19</v>
      </c>
      <c r="E587" s="4" t="s">
        <v>20</v>
      </c>
      <c r="F587" s="4" t="s">
        <v>52</v>
      </c>
      <c r="G587" s="4" t="s">
        <v>11</v>
      </c>
      <c r="H587" s="5">
        <v>12651.0</v>
      </c>
      <c r="I587" s="4" t="s">
        <v>23</v>
      </c>
    </row>
    <row r="588">
      <c r="A588" s="4" t="s">
        <v>913</v>
      </c>
      <c r="B588" s="4" t="s">
        <v>290</v>
      </c>
      <c r="C588" s="4" t="s">
        <v>76</v>
      </c>
      <c r="D588" s="4" t="s">
        <v>24</v>
      </c>
      <c r="E588" s="4" t="s">
        <v>46</v>
      </c>
      <c r="F588" s="4" t="s">
        <v>21</v>
      </c>
      <c r="G588" s="4" t="s">
        <v>11</v>
      </c>
      <c r="H588" s="5">
        <v>8294.0</v>
      </c>
      <c r="I588" s="4" t="s">
        <v>37</v>
      </c>
    </row>
    <row r="589">
      <c r="A589" s="4" t="s">
        <v>914</v>
      </c>
      <c r="B589" s="4" t="s">
        <v>865</v>
      </c>
      <c r="C589" s="4" t="s">
        <v>18</v>
      </c>
      <c r="D589" s="4" t="s">
        <v>16</v>
      </c>
      <c r="E589" s="4" t="s">
        <v>46</v>
      </c>
      <c r="F589" s="4" t="s">
        <v>21</v>
      </c>
      <c r="G589" s="4" t="s">
        <v>11</v>
      </c>
      <c r="H589" s="5">
        <v>12146.0</v>
      </c>
      <c r="I589" s="4" t="s">
        <v>42</v>
      </c>
    </row>
    <row r="590">
      <c r="A590" s="4" t="s">
        <v>915</v>
      </c>
      <c r="B590" s="4" t="s">
        <v>168</v>
      </c>
      <c r="C590" s="4" t="s">
        <v>18</v>
      </c>
      <c r="D590" s="4" t="s">
        <v>16</v>
      </c>
      <c r="E590" s="4" t="s">
        <v>20</v>
      </c>
      <c r="F590" s="4" t="s">
        <v>52</v>
      </c>
      <c r="G590" s="4" t="s">
        <v>12</v>
      </c>
      <c r="H590" s="5">
        <v>13247.0</v>
      </c>
      <c r="I590" s="4" t="s">
        <v>42</v>
      </c>
    </row>
    <row r="591">
      <c r="A591" s="4" t="s">
        <v>916</v>
      </c>
      <c r="B591" s="4" t="s">
        <v>917</v>
      </c>
      <c r="C591" s="4" t="s">
        <v>76</v>
      </c>
      <c r="D591" s="4" t="s">
        <v>24</v>
      </c>
      <c r="E591" s="4" t="s">
        <v>58</v>
      </c>
      <c r="F591" s="4" t="s">
        <v>21</v>
      </c>
      <c r="G591" s="4" t="s">
        <v>13</v>
      </c>
      <c r="H591" s="5">
        <v>10344.0</v>
      </c>
      <c r="I591" s="4" t="s">
        <v>23</v>
      </c>
    </row>
    <row r="592">
      <c r="A592" s="4" t="s">
        <v>918</v>
      </c>
      <c r="B592" s="4" t="s">
        <v>240</v>
      </c>
      <c r="C592" s="4" t="s">
        <v>76</v>
      </c>
      <c r="D592" s="4" t="s">
        <v>24</v>
      </c>
      <c r="E592" s="4" t="s">
        <v>20</v>
      </c>
      <c r="F592" s="4" t="s">
        <v>52</v>
      </c>
      <c r="G592" s="4" t="s">
        <v>11</v>
      </c>
      <c r="H592" s="5">
        <v>9932.0</v>
      </c>
      <c r="I592" s="4"/>
    </row>
    <row r="593">
      <c r="A593" s="4" t="s">
        <v>919</v>
      </c>
      <c r="B593" s="4" t="s">
        <v>253</v>
      </c>
      <c r="C593" s="4" t="s">
        <v>57</v>
      </c>
      <c r="D593" s="4" t="s">
        <v>19</v>
      </c>
      <c r="E593" s="4" t="s">
        <v>46</v>
      </c>
      <c r="F593" s="4" t="s">
        <v>21</v>
      </c>
      <c r="G593" s="4" t="s">
        <v>11</v>
      </c>
      <c r="H593" s="5">
        <v>14399.0</v>
      </c>
      <c r="I593" s="4" t="s">
        <v>47</v>
      </c>
    </row>
    <row r="594">
      <c r="A594" s="4" t="s">
        <v>920</v>
      </c>
      <c r="B594" s="4" t="s">
        <v>274</v>
      </c>
      <c r="C594" s="4" t="s">
        <v>18</v>
      </c>
      <c r="D594" s="4" t="s">
        <v>16</v>
      </c>
      <c r="E594" s="4" t="s">
        <v>46</v>
      </c>
      <c r="F594" s="4" t="s">
        <v>41</v>
      </c>
      <c r="G594" s="4" t="s">
        <v>11</v>
      </c>
      <c r="H594" s="5">
        <v>12575.0</v>
      </c>
      <c r="I594" s="4"/>
    </row>
    <row r="595">
      <c r="A595" s="4" t="s">
        <v>921</v>
      </c>
      <c r="B595" s="4" t="s">
        <v>154</v>
      </c>
      <c r="C595" s="4" t="s">
        <v>57</v>
      </c>
      <c r="D595" s="4" t="s">
        <v>19</v>
      </c>
      <c r="E595" s="4" t="s">
        <v>46</v>
      </c>
      <c r="F595" s="4" t="s">
        <v>41</v>
      </c>
      <c r="G595" s="4" t="s">
        <v>11</v>
      </c>
      <c r="H595" s="5">
        <v>11883.0</v>
      </c>
      <c r="I595" s="4"/>
    </row>
    <row r="596">
      <c r="A596" s="4" t="s">
        <v>922</v>
      </c>
      <c r="B596" s="4" t="s">
        <v>388</v>
      </c>
      <c r="C596" s="4" t="s">
        <v>45</v>
      </c>
      <c r="D596" s="4" t="s">
        <v>22</v>
      </c>
      <c r="E596" s="4" t="s">
        <v>46</v>
      </c>
      <c r="F596" s="4" t="s">
        <v>21</v>
      </c>
      <c r="G596" s="4" t="s">
        <v>13</v>
      </c>
      <c r="H596" s="5">
        <v>18795.0</v>
      </c>
      <c r="I596" s="4" t="s">
        <v>42</v>
      </c>
    </row>
    <row r="597">
      <c r="A597" s="4" t="s">
        <v>923</v>
      </c>
      <c r="B597" s="4" t="s">
        <v>392</v>
      </c>
      <c r="C597" s="4" t="s">
        <v>76</v>
      </c>
      <c r="D597" s="4" t="s">
        <v>24</v>
      </c>
      <c r="E597" s="4" t="s">
        <v>20</v>
      </c>
      <c r="F597" s="4" t="s">
        <v>52</v>
      </c>
      <c r="G597" s="4" t="s">
        <v>12</v>
      </c>
      <c r="H597" s="5">
        <v>7551.0</v>
      </c>
      <c r="I597" s="4"/>
    </row>
    <row r="598">
      <c r="A598" s="4" t="s">
        <v>924</v>
      </c>
      <c r="B598" s="4" t="s">
        <v>648</v>
      </c>
      <c r="C598" s="4" t="s">
        <v>18</v>
      </c>
      <c r="D598" s="4" t="s">
        <v>16</v>
      </c>
      <c r="E598" s="4" t="s">
        <v>20</v>
      </c>
      <c r="F598" s="4" t="s">
        <v>21</v>
      </c>
      <c r="G598" s="4" t="s">
        <v>12</v>
      </c>
      <c r="H598" s="5">
        <v>13978.0</v>
      </c>
      <c r="I598" s="4" t="s">
        <v>42</v>
      </c>
    </row>
    <row r="599">
      <c r="A599" s="4" t="s">
        <v>925</v>
      </c>
      <c r="B599" s="4" t="s">
        <v>157</v>
      </c>
      <c r="C599" s="4" t="s">
        <v>57</v>
      </c>
      <c r="D599" s="4" t="s">
        <v>19</v>
      </c>
      <c r="E599" s="4" t="s">
        <v>20</v>
      </c>
      <c r="F599" s="4" t="s">
        <v>41</v>
      </c>
      <c r="G599" s="4" t="s">
        <v>13</v>
      </c>
      <c r="H599" s="5">
        <v>12586.0</v>
      </c>
      <c r="I599" s="4" t="s">
        <v>42</v>
      </c>
    </row>
    <row r="600">
      <c r="A600" s="4" t="s">
        <v>926</v>
      </c>
      <c r="B600" s="4" t="s">
        <v>927</v>
      </c>
      <c r="C600" s="4" t="s">
        <v>76</v>
      </c>
      <c r="D600" s="4" t="s">
        <v>24</v>
      </c>
      <c r="E600" s="4" t="s">
        <v>58</v>
      </c>
      <c r="F600" s="4" t="s">
        <v>52</v>
      </c>
      <c r="G600" s="4" t="s">
        <v>12</v>
      </c>
      <c r="H600" s="5">
        <v>10122.0</v>
      </c>
      <c r="I600" s="4" t="s">
        <v>23</v>
      </c>
    </row>
    <row r="601">
      <c r="A601" s="4" t="s">
        <v>928</v>
      </c>
      <c r="B601" s="4" t="s">
        <v>574</v>
      </c>
      <c r="C601" s="4" t="s">
        <v>45</v>
      </c>
      <c r="D601" s="4" t="s">
        <v>22</v>
      </c>
      <c r="E601" s="4" t="s">
        <v>58</v>
      </c>
      <c r="F601" s="4" t="s">
        <v>41</v>
      </c>
      <c r="G601" s="4" t="s">
        <v>13</v>
      </c>
      <c r="H601" s="5">
        <v>16690.0</v>
      </c>
      <c r="I601" s="4" t="s">
        <v>42</v>
      </c>
    </row>
    <row r="602">
      <c r="A602" s="4" t="s">
        <v>929</v>
      </c>
      <c r="B602" s="4" t="s">
        <v>343</v>
      </c>
      <c r="C602" s="4" t="s">
        <v>45</v>
      </c>
      <c r="D602" s="4" t="s">
        <v>22</v>
      </c>
      <c r="E602" s="4" t="s">
        <v>20</v>
      </c>
      <c r="F602" s="4" t="s">
        <v>52</v>
      </c>
      <c r="G602" s="4" t="s">
        <v>11</v>
      </c>
      <c r="H602" s="5">
        <v>17915.0</v>
      </c>
      <c r="I602" s="4" t="s">
        <v>42</v>
      </c>
    </row>
    <row r="603">
      <c r="A603" s="4" t="s">
        <v>930</v>
      </c>
      <c r="B603" s="4" t="s">
        <v>125</v>
      </c>
      <c r="C603" s="4" t="s">
        <v>57</v>
      </c>
      <c r="D603" s="4" t="s">
        <v>19</v>
      </c>
      <c r="E603" s="4" t="s">
        <v>20</v>
      </c>
      <c r="F603" s="4" t="s">
        <v>52</v>
      </c>
      <c r="G603" s="4" t="s">
        <v>11</v>
      </c>
      <c r="H603" s="5">
        <v>13812.0</v>
      </c>
      <c r="I603" s="4" t="s">
        <v>47</v>
      </c>
    </row>
    <row r="604">
      <c r="A604" s="4" t="s">
        <v>931</v>
      </c>
      <c r="B604" s="4" t="s">
        <v>522</v>
      </c>
      <c r="C604" s="4" t="s">
        <v>57</v>
      </c>
      <c r="D604" s="4" t="s">
        <v>19</v>
      </c>
      <c r="E604" s="4" t="s">
        <v>20</v>
      </c>
      <c r="F604" s="4" t="s">
        <v>52</v>
      </c>
      <c r="G604" s="4" t="s">
        <v>12</v>
      </c>
      <c r="H604" s="5">
        <v>13608.0</v>
      </c>
      <c r="I604" s="4" t="s">
        <v>47</v>
      </c>
    </row>
    <row r="605">
      <c r="A605" s="4" t="s">
        <v>932</v>
      </c>
      <c r="B605" s="4" t="s">
        <v>253</v>
      </c>
      <c r="C605" s="4" t="s">
        <v>45</v>
      </c>
      <c r="D605" s="4" t="s">
        <v>22</v>
      </c>
      <c r="E605" s="4" t="s">
        <v>20</v>
      </c>
      <c r="F605" s="4" t="s">
        <v>21</v>
      </c>
      <c r="G605" s="4" t="s">
        <v>12</v>
      </c>
      <c r="H605" s="5">
        <v>17337.0</v>
      </c>
      <c r="I605" s="4"/>
    </row>
    <row r="606">
      <c r="A606" s="4" t="s">
        <v>933</v>
      </c>
      <c r="B606" s="4" t="s">
        <v>471</v>
      </c>
      <c r="C606" s="4" t="s">
        <v>45</v>
      </c>
      <c r="D606" s="4" t="s">
        <v>22</v>
      </c>
      <c r="E606" s="4" t="s">
        <v>58</v>
      </c>
      <c r="F606" s="4" t="s">
        <v>41</v>
      </c>
      <c r="G606" s="4" t="s">
        <v>12</v>
      </c>
      <c r="H606" s="5">
        <v>15436.0</v>
      </c>
      <c r="I606" s="4" t="s">
        <v>37</v>
      </c>
    </row>
    <row r="607">
      <c r="A607" s="4" t="s">
        <v>934</v>
      </c>
      <c r="B607" s="4" t="s">
        <v>657</v>
      </c>
      <c r="C607" s="4" t="s">
        <v>18</v>
      </c>
      <c r="D607" s="4" t="s">
        <v>16</v>
      </c>
      <c r="E607" s="4" t="s">
        <v>46</v>
      </c>
      <c r="F607" s="4" t="s">
        <v>21</v>
      </c>
      <c r="G607" s="4" t="s">
        <v>13</v>
      </c>
      <c r="H607" s="5">
        <v>13173.0</v>
      </c>
      <c r="I607" s="4" t="s">
        <v>47</v>
      </c>
    </row>
    <row r="608">
      <c r="A608" s="4" t="s">
        <v>935</v>
      </c>
      <c r="B608" s="4" t="s">
        <v>776</v>
      </c>
      <c r="C608" s="4" t="s">
        <v>45</v>
      </c>
      <c r="D608" s="4" t="s">
        <v>22</v>
      </c>
      <c r="E608" s="4" t="s">
        <v>46</v>
      </c>
      <c r="F608" s="4" t="s">
        <v>52</v>
      </c>
      <c r="G608" s="4" t="s">
        <v>13</v>
      </c>
      <c r="H608" s="5">
        <v>16469.0</v>
      </c>
      <c r="I608" s="4"/>
    </row>
    <row r="609">
      <c r="A609" s="4" t="s">
        <v>936</v>
      </c>
      <c r="B609" s="4" t="s">
        <v>937</v>
      </c>
      <c r="C609" s="4" t="s">
        <v>57</v>
      </c>
      <c r="D609" s="4" t="s">
        <v>19</v>
      </c>
      <c r="E609" s="4" t="s">
        <v>20</v>
      </c>
      <c r="F609" s="4" t="s">
        <v>52</v>
      </c>
      <c r="G609" s="4" t="s">
        <v>12</v>
      </c>
      <c r="H609" s="5">
        <v>12592.0</v>
      </c>
      <c r="I609" s="4" t="s">
        <v>23</v>
      </c>
    </row>
    <row r="610">
      <c r="A610" s="4" t="s">
        <v>938</v>
      </c>
      <c r="B610" s="4" t="s">
        <v>67</v>
      </c>
      <c r="C610" s="4" t="s">
        <v>45</v>
      </c>
      <c r="D610" s="4" t="s">
        <v>22</v>
      </c>
      <c r="E610" s="4" t="s">
        <v>20</v>
      </c>
      <c r="F610" s="4" t="s">
        <v>52</v>
      </c>
      <c r="G610" s="4" t="s">
        <v>13</v>
      </c>
      <c r="H610" s="5">
        <v>18794.0</v>
      </c>
      <c r="I610" s="4"/>
    </row>
    <row r="611">
      <c r="A611" s="4" t="s">
        <v>939</v>
      </c>
      <c r="B611" s="4" t="s">
        <v>197</v>
      </c>
      <c r="C611" s="4" t="s">
        <v>45</v>
      </c>
      <c r="D611" s="4" t="s">
        <v>22</v>
      </c>
      <c r="E611" s="4" t="s">
        <v>20</v>
      </c>
      <c r="F611" s="4" t="s">
        <v>41</v>
      </c>
      <c r="G611" s="4" t="s">
        <v>13</v>
      </c>
      <c r="H611" s="5">
        <v>18046.0</v>
      </c>
      <c r="I611" s="4" t="s">
        <v>47</v>
      </c>
    </row>
    <row r="612">
      <c r="A612" s="4" t="s">
        <v>940</v>
      </c>
      <c r="B612" s="4" t="s">
        <v>937</v>
      </c>
      <c r="C612" s="4" t="s">
        <v>76</v>
      </c>
      <c r="D612" s="4" t="s">
        <v>24</v>
      </c>
      <c r="E612" s="4" t="s">
        <v>46</v>
      </c>
      <c r="F612" s="4" t="s">
        <v>52</v>
      </c>
      <c r="G612" s="4" t="s">
        <v>12</v>
      </c>
      <c r="H612" s="5">
        <v>9906.0</v>
      </c>
      <c r="I612" s="4" t="s">
        <v>47</v>
      </c>
    </row>
    <row r="613">
      <c r="A613" s="4" t="s">
        <v>941</v>
      </c>
      <c r="B613" s="4" t="s">
        <v>113</v>
      </c>
      <c r="C613" s="4" t="s">
        <v>57</v>
      </c>
      <c r="D613" s="4" t="s">
        <v>19</v>
      </c>
      <c r="E613" s="4" t="s">
        <v>20</v>
      </c>
      <c r="F613" s="4" t="s">
        <v>41</v>
      </c>
      <c r="G613" s="4" t="s">
        <v>11</v>
      </c>
      <c r="H613" s="5">
        <v>12838.0</v>
      </c>
      <c r="I613" s="4" t="s">
        <v>23</v>
      </c>
    </row>
    <row r="614">
      <c r="A614" s="4" t="s">
        <v>942</v>
      </c>
      <c r="B614" s="4" t="s">
        <v>943</v>
      </c>
      <c r="C614" s="4" t="s">
        <v>57</v>
      </c>
      <c r="D614" s="4" t="s">
        <v>19</v>
      </c>
      <c r="E614" s="4" t="s">
        <v>20</v>
      </c>
      <c r="F614" s="4" t="s">
        <v>52</v>
      </c>
      <c r="G614" s="4" t="s">
        <v>13</v>
      </c>
      <c r="H614" s="5">
        <v>12545.0</v>
      </c>
      <c r="I614" s="4" t="s">
        <v>37</v>
      </c>
    </row>
    <row r="615">
      <c r="A615" s="4" t="s">
        <v>944</v>
      </c>
      <c r="B615" s="4" t="s">
        <v>403</v>
      </c>
      <c r="C615" s="4" t="s">
        <v>45</v>
      </c>
      <c r="D615" s="4" t="s">
        <v>22</v>
      </c>
      <c r="E615" s="4" t="s">
        <v>46</v>
      </c>
      <c r="F615" s="4" t="s">
        <v>41</v>
      </c>
      <c r="G615" s="4" t="s">
        <v>12</v>
      </c>
      <c r="H615" s="5">
        <v>18465.0</v>
      </c>
      <c r="I615" s="4" t="s">
        <v>47</v>
      </c>
    </row>
    <row r="616">
      <c r="A616" s="4" t="s">
        <v>945</v>
      </c>
      <c r="B616" s="4" t="s">
        <v>902</v>
      </c>
      <c r="C616" s="4" t="s">
        <v>57</v>
      </c>
      <c r="D616" s="4" t="s">
        <v>19</v>
      </c>
      <c r="E616" s="4" t="s">
        <v>46</v>
      </c>
      <c r="F616" s="4" t="s">
        <v>41</v>
      </c>
      <c r="G616" s="4" t="s">
        <v>11</v>
      </c>
      <c r="H616" s="5">
        <v>13444.0</v>
      </c>
      <c r="I616" s="4" t="s">
        <v>37</v>
      </c>
    </row>
    <row r="617">
      <c r="A617" s="4" t="s">
        <v>946</v>
      </c>
      <c r="B617" s="4" t="s">
        <v>62</v>
      </c>
      <c r="C617" s="4" t="s">
        <v>45</v>
      </c>
      <c r="D617" s="4" t="s">
        <v>22</v>
      </c>
      <c r="E617" s="4" t="s">
        <v>58</v>
      </c>
      <c r="F617" s="4" t="s">
        <v>52</v>
      </c>
      <c r="G617" s="4" t="s">
        <v>12</v>
      </c>
      <c r="H617" s="5">
        <v>16466.0</v>
      </c>
      <c r="I617" s="4" t="s">
        <v>37</v>
      </c>
    </row>
    <row r="618">
      <c r="A618" s="4" t="s">
        <v>947</v>
      </c>
      <c r="B618" s="4" t="s">
        <v>677</v>
      </c>
      <c r="C618" s="4" t="s">
        <v>57</v>
      </c>
      <c r="D618" s="4" t="s">
        <v>19</v>
      </c>
      <c r="E618" s="4" t="s">
        <v>46</v>
      </c>
      <c r="F618" s="4" t="s">
        <v>52</v>
      </c>
      <c r="G618" s="4" t="s">
        <v>13</v>
      </c>
      <c r="H618" s="5">
        <v>14220.0</v>
      </c>
      <c r="I618" s="4" t="s">
        <v>42</v>
      </c>
    </row>
    <row r="619">
      <c r="A619" s="4" t="s">
        <v>948</v>
      </c>
      <c r="B619" s="4" t="s">
        <v>612</v>
      </c>
      <c r="C619" s="4" t="s">
        <v>76</v>
      </c>
      <c r="D619" s="4" t="s">
        <v>24</v>
      </c>
      <c r="E619" s="4" t="s">
        <v>46</v>
      </c>
      <c r="F619" s="4" t="s">
        <v>21</v>
      </c>
      <c r="G619" s="4" t="s">
        <v>13</v>
      </c>
      <c r="H619" s="5">
        <v>10618.0</v>
      </c>
      <c r="I619" s="4" t="s">
        <v>23</v>
      </c>
    </row>
    <row r="620">
      <c r="A620" s="4" t="s">
        <v>949</v>
      </c>
      <c r="B620" s="4" t="s">
        <v>374</v>
      </c>
      <c r="C620" s="4" t="s">
        <v>45</v>
      </c>
      <c r="D620" s="4" t="s">
        <v>22</v>
      </c>
      <c r="E620" s="4" t="s">
        <v>58</v>
      </c>
      <c r="F620" s="4" t="s">
        <v>41</v>
      </c>
      <c r="G620" s="4" t="s">
        <v>12</v>
      </c>
      <c r="H620" s="5">
        <v>17172.0</v>
      </c>
      <c r="I620" s="4"/>
    </row>
    <row r="621">
      <c r="A621" s="4" t="s">
        <v>950</v>
      </c>
      <c r="B621" s="4" t="s">
        <v>493</v>
      </c>
      <c r="C621" s="4" t="s">
        <v>18</v>
      </c>
      <c r="D621" s="4" t="s">
        <v>16</v>
      </c>
      <c r="E621" s="4" t="s">
        <v>46</v>
      </c>
      <c r="F621" s="4" t="s">
        <v>52</v>
      </c>
      <c r="G621" s="4" t="s">
        <v>11</v>
      </c>
      <c r="H621" s="5">
        <v>13825.0</v>
      </c>
      <c r="I621" s="4" t="s">
        <v>23</v>
      </c>
    </row>
    <row r="622">
      <c r="A622" s="4" t="s">
        <v>951</v>
      </c>
      <c r="B622" s="4" t="s">
        <v>207</v>
      </c>
      <c r="C622" s="4" t="s">
        <v>57</v>
      </c>
      <c r="D622" s="4" t="s">
        <v>19</v>
      </c>
      <c r="E622" s="4" t="s">
        <v>46</v>
      </c>
      <c r="F622" s="4" t="s">
        <v>52</v>
      </c>
      <c r="G622" s="4" t="s">
        <v>11</v>
      </c>
      <c r="H622" s="5">
        <v>12562.0</v>
      </c>
      <c r="I622" s="4" t="s">
        <v>37</v>
      </c>
    </row>
    <row r="623">
      <c r="A623" s="4" t="s">
        <v>952</v>
      </c>
      <c r="B623" s="4" t="s">
        <v>403</v>
      </c>
      <c r="C623" s="4" t="s">
        <v>45</v>
      </c>
      <c r="D623" s="4" t="s">
        <v>22</v>
      </c>
      <c r="E623" s="4" t="s">
        <v>46</v>
      </c>
      <c r="F623" s="4" t="s">
        <v>52</v>
      </c>
      <c r="G623" s="4" t="s">
        <v>11</v>
      </c>
      <c r="H623" s="5">
        <v>17106.0</v>
      </c>
      <c r="I623" s="4" t="s">
        <v>42</v>
      </c>
    </row>
    <row r="624">
      <c r="A624" s="4" t="s">
        <v>953</v>
      </c>
      <c r="B624" s="4" t="s">
        <v>811</v>
      </c>
      <c r="C624" s="4" t="s">
        <v>45</v>
      </c>
      <c r="D624" s="4" t="s">
        <v>22</v>
      </c>
      <c r="E624" s="4" t="s">
        <v>20</v>
      </c>
      <c r="F624" s="4" t="s">
        <v>41</v>
      </c>
      <c r="G624" s="4" t="s">
        <v>11</v>
      </c>
      <c r="H624" s="5">
        <v>17104.0</v>
      </c>
      <c r="I624" s="4" t="s">
        <v>37</v>
      </c>
    </row>
    <row r="625">
      <c r="A625" s="4" t="s">
        <v>954</v>
      </c>
      <c r="B625" s="4" t="s">
        <v>943</v>
      </c>
      <c r="C625" s="4" t="s">
        <v>18</v>
      </c>
      <c r="D625" s="4" t="s">
        <v>16</v>
      </c>
      <c r="E625" s="4" t="s">
        <v>20</v>
      </c>
      <c r="F625" s="4" t="s">
        <v>41</v>
      </c>
      <c r="G625" s="4" t="s">
        <v>13</v>
      </c>
      <c r="H625" s="5">
        <v>14745.0</v>
      </c>
      <c r="I625" s="4" t="s">
        <v>23</v>
      </c>
    </row>
    <row r="626">
      <c r="A626" s="4" t="s">
        <v>955</v>
      </c>
      <c r="B626" s="4" t="s">
        <v>119</v>
      </c>
      <c r="C626" s="4" t="s">
        <v>18</v>
      </c>
      <c r="D626" s="4" t="s">
        <v>16</v>
      </c>
      <c r="E626" s="4" t="s">
        <v>46</v>
      </c>
      <c r="F626" s="4" t="s">
        <v>52</v>
      </c>
      <c r="G626" s="4" t="s">
        <v>12</v>
      </c>
      <c r="H626" s="5">
        <v>15598.0</v>
      </c>
      <c r="I626" s="4"/>
    </row>
    <row r="627">
      <c r="A627" s="4" t="s">
        <v>956</v>
      </c>
      <c r="B627" s="4" t="s">
        <v>127</v>
      </c>
      <c r="C627" s="4" t="s">
        <v>57</v>
      </c>
      <c r="D627" s="4" t="s">
        <v>19</v>
      </c>
      <c r="E627" s="4" t="s">
        <v>46</v>
      </c>
      <c r="F627" s="4" t="s">
        <v>21</v>
      </c>
      <c r="G627" s="4" t="s">
        <v>12</v>
      </c>
      <c r="H627" s="5">
        <v>12358.0</v>
      </c>
      <c r="I627" s="4" t="s">
        <v>37</v>
      </c>
    </row>
    <row r="628">
      <c r="A628" s="4" t="s">
        <v>957</v>
      </c>
      <c r="B628" s="4" t="s">
        <v>56</v>
      </c>
      <c r="C628" s="4" t="s">
        <v>57</v>
      </c>
      <c r="D628" s="4" t="s">
        <v>19</v>
      </c>
      <c r="E628" s="4" t="s">
        <v>58</v>
      </c>
      <c r="F628" s="4" t="s">
        <v>52</v>
      </c>
      <c r="G628" s="4" t="s">
        <v>13</v>
      </c>
      <c r="H628" s="5">
        <v>13355.0</v>
      </c>
      <c r="I628" s="4" t="s">
        <v>23</v>
      </c>
    </row>
    <row r="629">
      <c r="A629" s="4" t="s">
        <v>958</v>
      </c>
      <c r="B629" s="4" t="s">
        <v>89</v>
      </c>
      <c r="C629" s="4" t="s">
        <v>76</v>
      </c>
      <c r="D629" s="4" t="s">
        <v>24</v>
      </c>
      <c r="E629" s="4" t="s">
        <v>58</v>
      </c>
      <c r="F629" s="4" t="s">
        <v>52</v>
      </c>
      <c r="G629" s="4" t="s">
        <v>11</v>
      </c>
      <c r="H629" s="5">
        <v>8773.0</v>
      </c>
      <c r="I629" s="4" t="s">
        <v>47</v>
      </c>
    </row>
    <row r="630">
      <c r="A630" s="4" t="s">
        <v>959</v>
      </c>
      <c r="B630" s="4" t="s">
        <v>366</v>
      </c>
      <c r="C630" s="4" t="s">
        <v>18</v>
      </c>
      <c r="D630" s="4" t="s">
        <v>16</v>
      </c>
      <c r="E630" s="4" t="s">
        <v>20</v>
      </c>
      <c r="F630" s="4" t="s">
        <v>41</v>
      </c>
      <c r="G630" s="4" t="s">
        <v>12</v>
      </c>
      <c r="H630" s="5">
        <v>14950.0</v>
      </c>
      <c r="I630" s="4" t="s">
        <v>42</v>
      </c>
    </row>
    <row r="631">
      <c r="A631" s="4" t="s">
        <v>960</v>
      </c>
      <c r="B631" s="4" t="s">
        <v>390</v>
      </c>
      <c r="C631" s="4" t="s">
        <v>18</v>
      </c>
      <c r="D631" s="4" t="s">
        <v>16</v>
      </c>
      <c r="E631" s="4" t="s">
        <v>20</v>
      </c>
      <c r="F631" s="4" t="s">
        <v>41</v>
      </c>
      <c r="G631" s="4" t="s">
        <v>11</v>
      </c>
      <c r="H631" s="5">
        <v>15801.0</v>
      </c>
      <c r="I631" s="4" t="s">
        <v>42</v>
      </c>
    </row>
    <row r="632">
      <c r="A632" s="4" t="s">
        <v>961</v>
      </c>
      <c r="B632" s="4" t="s">
        <v>543</v>
      </c>
      <c r="C632" s="4" t="s">
        <v>45</v>
      </c>
      <c r="D632" s="4" t="s">
        <v>22</v>
      </c>
      <c r="E632" s="4" t="s">
        <v>20</v>
      </c>
      <c r="F632" s="4" t="s">
        <v>41</v>
      </c>
      <c r="G632" s="4" t="s">
        <v>11</v>
      </c>
      <c r="H632" s="5">
        <v>18134.0</v>
      </c>
      <c r="I632" s="4"/>
    </row>
    <row r="633">
      <c r="A633" s="4" t="s">
        <v>962</v>
      </c>
      <c r="B633" s="4" t="s">
        <v>405</v>
      </c>
      <c r="C633" s="4" t="s">
        <v>18</v>
      </c>
      <c r="D633" s="4" t="s">
        <v>16</v>
      </c>
      <c r="E633" s="4" t="s">
        <v>58</v>
      </c>
      <c r="F633" s="4" t="s">
        <v>41</v>
      </c>
      <c r="G633" s="4" t="s">
        <v>12</v>
      </c>
      <c r="H633" s="5">
        <v>12900.0</v>
      </c>
      <c r="I633" s="4" t="s">
        <v>23</v>
      </c>
    </row>
    <row r="634">
      <c r="A634" s="4" t="s">
        <v>963</v>
      </c>
      <c r="B634" s="4" t="s">
        <v>197</v>
      </c>
      <c r="C634" s="4" t="s">
        <v>45</v>
      </c>
      <c r="D634" s="4" t="s">
        <v>22</v>
      </c>
      <c r="E634" s="4" t="s">
        <v>20</v>
      </c>
      <c r="F634" s="4" t="s">
        <v>41</v>
      </c>
      <c r="G634" s="4" t="s">
        <v>11</v>
      </c>
      <c r="H634" s="5">
        <v>17774.0</v>
      </c>
      <c r="I634" s="4" t="s">
        <v>47</v>
      </c>
    </row>
    <row r="635">
      <c r="A635" s="4" t="s">
        <v>964</v>
      </c>
      <c r="B635" s="4" t="s">
        <v>213</v>
      </c>
      <c r="C635" s="4" t="s">
        <v>57</v>
      </c>
      <c r="D635" s="4" t="s">
        <v>19</v>
      </c>
      <c r="E635" s="4" t="s">
        <v>46</v>
      </c>
      <c r="F635" s="4" t="s">
        <v>41</v>
      </c>
      <c r="G635" s="4" t="s">
        <v>13</v>
      </c>
      <c r="H635" s="5">
        <v>13345.0</v>
      </c>
      <c r="I635" s="4" t="s">
        <v>42</v>
      </c>
    </row>
    <row r="636">
      <c r="A636" s="4" t="s">
        <v>965</v>
      </c>
      <c r="B636" s="4" t="s">
        <v>215</v>
      </c>
      <c r="C636" s="4" t="s">
        <v>18</v>
      </c>
      <c r="D636" s="4" t="s">
        <v>16</v>
      </c>
      <c r="E636" s="4" t="s">
        <v>58</v>
      </c>
      <c r="F636" s="4" t="s">
        <v>41</v>
      </c>
      <c r="G636" s="4" t="s">
        <v>12</v>
      </c>
      <c r="H636" s="5">
        <v>15036.0</v>
      </c>
      <c r="I636" s="4" t="s">
        <v>47</v>
      </c>
    </row>
    <row r="637">
      <c r="A637" s="4" t="s">
        <v>966</v>
      </c>
      <c r="B637" s="4" t="s">
        <v>366</v>
      </c>
      <c r="C637" s="4" t="s">
        <v>57</v>
      </c>
      <c r="D637" s="4" t="s">
        <v>19</v>
      </c>
      <c r="E637" s="4" t="s">
        <v>46</v>
      </c>
      <c r="F637" s="4" t="s">
        <v>41</v>
      </c>
      <c r="G637" s="4" t="s">
        <v>13</v>
      </c>
      <c r="H637" s="5">
        <v>13526.0</v>
      </c>
      <c r="I637" s="4" t="s">
        <v>47</v>
      </c>
    </row>
    <row r="638">
      <c r="A638" s="4" t="s">
        <v>967</v>
      </c>
      <c r="B638" s="4" t="s">
        <v>943</v>
      </c>
      <c r="C638" s="4" t="s">
        <v>18</v>
      </c>
      <c r="D638" s="4" t="s">
        <v>16</v>
      </c>
      <c r="E638" s="4" t="s">
        <v>20</v>
      </c>
      <c r="F638" s="4" t="s">
        <v>21</v>
      </c>
      <c r="G638" s="4" t="s">
        <v>12</v>
      </c>
      <c r="H638" s="5">
        <v>14251.0</v>
      </c>
      <c r="I638" s="4" t="s">
        <v>37</v>
      </c>
    </row>
    <row r="639">
      <c r="A639" s="4" t="s">
        <v>968</v>
      </c>
      <c r="B639" s="4" t="s">
        <v>17</v>
      </c>
      <c r="C639" s="4" t="s">
        <v>45</v>
      </c>
      <c r="D639" s="4" t="s">
        <v>22</v>
      </c>
      <c r="E639" s="4" t="s">
        <v>46</v>
      </c>
      <c r="F639" s="4" t="s">
        <v>41</v>
      </c>
      <c r="G639" s="4" t="s">
        <v>12</v>
      </c>
      <c r="H639" s="5">
        <v>17378.0</v>
      </c>
      <c r="I639" s="4"/>
    </row>
    <row r="640">
      <c r="A640" s="4" t="s">
        <v>969</v>
      </c>
      <c r="B640" s="4" t="s">
        <v>374</v>
      </c>
      <c r="C640" s="4" t="s">
        <v>57</v>
      </c>
      <c r="D640" s="4" t="s">
        <v>19</v>
      </c>
      <c r="E640" s="4" t="s">
        <v>20</v>
      </c>
      <c r="F640" s="4" t="s">
        <v>52</v>
      </c>
      <c r="G640" s="4" t="s">
        <v>13</v>
      </c>
      <c r="H640" s="5">
        <v>11409.0</v>
      </c>
      <c r="I640" s="4" t="s">
        <v>47</v>
      </c>
    </row>
    <row r="641">
      <c r="A641" s="4" t="s">
        <v>970</v>
      </c>
      <c r="B641" s="4" t="s">
        <v>310</v>
      </c>
      <c r="C641" s="4" t="s">
        <v>45</v>
      </c>
      <c r="D641" s="4" t="s">
        <v>22</v>
      </c>
      <c r="E641" s="4" t="s">
        <v>58</v>
      </c>
      <c r="F641" s="4" t="s">
        <v>21</v>
      </c>
      <c r="G641" s="4" t="s">
        <v>11</v>
      </c>
      <c r="H641" s="5">
        <v>17524.0</v>
      </c>
      <c r="I641" s="4" t="s">
        <v>47</v>
      </c>
    </row>
    <row r="642">
      <c r="A642" s="4" t="s">
        <v>971</v>
      </c>
      <c r="B642" s="4" t="s">
        <v>473</v>
      </c>
      <c r="C642" s="4" t="s">
        <v>45</v>
      </c>
      <c r="D642" s="4" t="s">
        <v>22</v>
      </c>
      <c r="E642" s="4" t="s">
        <v>58</v>
      </c>
      <c r="F642" s="4" t="s">
        <v>21</v>
      </c>
      <c r="G642" s="4" t="s">
        <v>13</v>
      </c>
      <c r="H642" s="5">
        <v>15019.0</v>
      </c>
      <c r="I642" s="4" t="s">
        <v>47</v>
      </c>
    </row>
    <row r="643">
      <c r="A643" s="4" t="s">
        <v>972</v>
      </c>
      <c r="B643" s="4" t="s">
        <v>388</v>
      </c>
      <c r="C643" s="4" t="s">
        <v>76</v>
      </c>
      <c r="D643" s="4" t="s">
        <v>24</v>
      </c>
      <c r="E643" s="4" t="s">
        <v>58</v>
      </c>
      <c r="F643" s="4" t="s">
        <v>21</v>
      </c>
      <c r="G643" s="4" t="s">
        <v>13</v>
      </c>
      <c r="H643" s="5">
        <v>9783.0</v>
      </c>
      <c r="I643" s="4" t="s">
        <v>47</v>
      </c>
    </row>
    <row r="644">
      <c r="A644" s="4" t="s">
        <v>973</v>
      </c>
      <c r="B644" s="4" t="s">
        <v>290</v>
      </c>
      <c r="C644" s="4" t="s">
        <v>76</v>
      </c>
      <c r="D644" s="4" t="s">
        <v>24</v>
      </c>
      <c r="E644" s="4" t="s">
        <v>58</v>
      </c>
      <c r="F644" s="4" t="s">
        <v>21</v>
      </c>
      <c r="G644" s="4" t="s">
        <v>11</v>
      </c>
      <c r="H644" s="5">
        <v>9259.0</v>
      </c>
      <c r="I644" s="4" t="s">
        <v>37</v>
      </c>
    </row>
    <row r="645">
      <c r="A645" s="4" t="s">
        <v>974</v>
      </c>
      <c r="B645" s="4" t="s">
        <v>207</v>
      </c>
      <c r="C645" s="4" t="s">
        <v>18</v>
      </c>
      <c r="D645" s="4" t="s">
        <v>16</v>
      </c>
      <c r="E645" s="4" t="s">
        <v>58</v>
      </c>
      <c r="F645" s="4" t="s">
        <v>41</v>
      </c>
      <c r="G645" s="4" t="s">
        <v>12</v>
      </c>
      <c r="H645" s="5">
        <v>12804.0</v>
      </c>
      <c r="I645" s="4" t="s">
        <v>47</v>
      </c>
    </row>
    <row r="646">
      <c r="A646" s="4" t="s">
        <v>975</v>
      </c>
      <c r="B646" s="4" t="s">
        <v>62</v>
      </c>
      <c r="C646" s="4" t="s">
        <v>18</v>
      </c>
      <c r="D646" s="4" t="s">
        <v>16</v>
      </c>
      <c r="E646" s="4" t="s">
        <v>20</v>
      </c>
      <c r="F646" s="4" t="s">
        <v>41</v>
      </c>
      <c r="G646" s="4" t="s">
        <v>13</v>
      </c>
      <c r="H646" s="5">
        <v>15479.0</v>
      </c>
      <c r="I646" s="4" t="s">
        <v>42</v>
      </c>
    </row>
    <row r="647">
      <c r="A647" s="4" t="s">
        <v>976</v>
      </c>
      <c r="B647" s="4" t="s">
        <v>168</v>
      </c>
      <c r="C647" s="4" t="s">
        <v>76</v>
      </c>
      <c r="D647" s="4" t="s">
        <v>24</v>
      </c>
      <c r="E647" s="4" t="s">
        <v>20</v>
      </c>
      <c r="F647" s="4" t="s">
        <v>41</v>
      </c>
      <c r="G647" s="4" t="s">
        <v>13</v>
      </c>
      <c r="H647" s="5">
        <v>9259.0</v>
      </c>
      <c r="I647" s="4" t="s">
        <v>47</v>
      </c>
    </row>
    <row r="648">
      <c r="A648" s="4" t="s">
        <v>977</v>
      </c>
      <c r="B648" s="4" t="s">
        <v>111</v>
      </c>
      <c r="C648" s="4" t="s">
        <v>76</v>
      </c>
      <c r="D648" s="4" t="s">
        <v>24</v>
      </c>
      <c r="E648" s="4" t="s">
        <v>20</v>
      </c>
      <c r="F648" s="4" t="s">
        <v>41</v>
      </c>
      <c r="G648" s="4" t="s">
        <v>11</v>
      </c>
      <c r="H648" s="5">
        <v>8607.0</v>
      </c>
      <c r="I648" s="4" t="s">
        <v>23</v>
      </c>
    </row>
    <row r="649">
      <c r="A649" s="4" t="s">
        <v>978</v>
      </c>
      <c r="B649" s="4" t="s">
        <v>622</v>
      </c>
      <c r="C649" s="4" t="s">
        <v>45</v>
      </c>
      <c r="D649" s="4" t="s">
        <v>22</v>
      </c>
      <c r="E649" s="4" t="s">
        <v>46</v>
      </c>
      <c r="F649" s="4" t="s">
        <v>21</v>
      </c>
      <c r="G649" s="4" t="s">
        <v>12</v>
      </c>
      <c r="H649" s="5">
        <v>17090.0</v>
      </c>
      <c r="I649" s="4" t="s">
        <v>37</v>
      </c>
    </row>
    <row r="650">
      <c r="A650" s="4" t="s">
        <v>979</v>
      </c>
      <c r="B650" s="4" t="s">
        <v>396</v>
      </c>
      <c r="C650" s="4" t="s">
        <v>18</v>
      </c>
      <c r="D650" s="4" t="s">
        <v>16</v>
      </c>
      <c r="E650" s="4" t="s">
        <v>20</v>
      </c>
      <c r="F650" s="4" t="s">
        <v>41</v>
      </c>
      <c r="G650" s="4" t="s">
        <v>12</v>
      </c>
      <c r="H650" s="5">
        <v>14802.0</v>
      </c>
      <c r="I650" s="4" t="s">
        <v>23</v>
      </c>
    </row>
    <row r="651">
      <c r="A651" s="4" t="s">
        <v>980</v>
      </c>
      <c r="B651" s="4" t="s">
        <v>105</v>
      </c>
      <c r="C651" s="4" t="s">
        <v>76</v>
      </c>
      <c r="D651" s="4" t="s">
        <v>24</v>
      </c>
      <c r="E651" s="4" t="s">
        <v>46</v>
      </c>
      <c r="F651" s="4" t="s">
        <v>41</v>
      </c>
      <c r="G651" s="4" t="s">
        <v>12</v>
      </c>
      <c r="H651" s="5">
        <v>10885.0</v>
      </c>
      <c r="I651" s="4" t="s">
        <v>42</v>
      </c>
    </row>
    <row r="652">
      <c r="A652" s="4" t="s">
        <v>981</v>
      </c>
      <c r="B652" s="4" t="s">
        <v>512</v>
      </c>
      <c r="C652" s="4" t="s">
        <v>76</v>
      </c>
      <c r="D652" s="4" t="s">
        <v>24</v>
      </c>
      <c r="E652" s="4" t="s">
        <v>58</v>
      </c>
      <c r="F652" s="4" t="s">
        <v>41</v>
      </c>
      <c r="G652" s="4" t="s">
        <v>13</v>
      </c>
      <c r="H652" s="5">
        <v>10118.0</v>
      </c>
      <c r="I652" s="4"/>
    </row>
    <row r="653">
      <c r="A653" s="4" t="s">
        <v>982</v>
      </c>
      <c r="B653" s="4" t="s">
        <v>351</v>
      </c>
      <c r="C653" s="4" t="s">
        <v>45</v>
      </c>
      <c r="D653" s="4" t="s">
        <v>22</v>
      </c>
      <c r="E653" s="4" t="s">
        <v>46</v>
      </c>
      <c r="F653" s="4" t="s">
        <v>41</v>
      </c>
      <c r="G653" s="4" t="s">
        <v>12</v>
      </c>
      <c r="H653" s="5">
        <v>15846.0</v>
      </c>
      <c r="I653" s="4" t="s">
        <v>42</v>
      </c>
    </row>
    <row r="654">
      <c r="A654" s="4" t="s">
        <v>983</v>
      </c>
      <c r="B654" s="4" t="s">
        <v>702</v>
      </c>
      <c r="C654" s="4" t="s">
        <v>76</v>
      </c>
      <c r="D654" s="4" t="s">
        <v>24</v>
      </c>
      <c r="E654" s="4" t="s">
        <v>58</v>
      </c>
      <c r="F654" s="4" t="s">
        <v>21</v>
      </c>
      <c r="G654" s="4" t="s">
        <v>13</v>
      </c>
      <c r="H654" s="5">
        <v>7163.0</v>
      </c>
      <c r="I654" s="4" t="s">
        <v>47</v>
      </c>
    </row>
    <row r="655">
      <c r="A655" s="4" t="s">
        <v>984</v>
      </c>
      <c r="B655" s="4" t="s">
        <v>136</v>
      </c>
      <c r="C655" s="4" t="s">
        <v>45</v>
      </c>
      <c r="D655" s="4" t="s">
        <v>22</v>
      </c>
      <c r="E655" s="4" t="s">
        <v>20</v>
      </c>
      <c r="F655" s="4" t="s">
        <v>21</v>
      </c>
      <c r="G655" s="4" t="s">
        <v>12</v>
      </c>
      <c r="H655" s="5">
        <v>17229.0</v>
      </c>
      <c r="I655" s="4" t="s">
        <v>42</v>
      </c>
    </row>
    <row r="656">
      <c r="A656" s="4" t="s">
        <v>985</v>
      </c>
      <c r="B656" s="4" t="s">
        <v>366</v>
      </c>
      <c r="C656" s="4" t="s">
        <v>76</v>
      </c>
      <c r="D656" s="4" t="s">
        <v>24</v>
      </c>
      <c r="E656" s="4" t="s">
        <v>58</v>
      </c>
      <c r="F656" s="4" t="s">
        <v>52</v>
      </c>
      <c r="G656" s="4" t="s">
        <v>12</v>
      </c>
      <c r="H656" s="5">
        <v>10679.0</v>
      </c>
      <c r="I656" s="4" t="s">
        <v>37</v>
      </c>
    </row>
    <row r="657">
      <c r="A657" s="4" t="s">
        <v>986</v>
      </c>
      <c r="B657" s="4" t="s">
        <v>89</v>
      </c>
      <c r="C657" s="4" t="s">
        <v>57</v>
      </c>
      <c r="D657" s="4" t="s">
        <v>19</v>
      </c>
      <c r="E657" s="4" t="s">
        <v>20</v>
      </c>
      <c r="F657" s="4" t="s">
        <v>21</v>
      </c>
      <c r="G657" s="4" t="s">
        <v>11</v>
      </c>
      <c r="H657" s="5">
        <v>14347.0</v>
      </c>
      <c r="I657" s="4" t="s">
        <v>47</v>
      </c>
    </row>
    <row r="658">
      <c r="A658" s="4" t="s">
        <v>987</v>
      </c>
      <c r="B658" s="4" t="s">
        <v>392</v>
      </c>
      <c r="C658" s="4" t="s">
        <v>18</v>
      </c>
      <c r="D658" s="4" t="s">
        <v>16</v>
      </c>
      <c r="E658" s="4" t="s">
        <v>20</v>
      </c>
      <c r="F658" s="4" t="s">
        <v>41</v>
      </c>
      <c r="G658" s="4" t="s">
        <v>11</v>
      </c>
      <c r="H658" s="5">
        <v>12678.0</v>
      </c>
      <c r="I658" s="4" t="s">
        <v>23</v>
      </c>
    </row>
    <row r="659">
      <c r="A659" s="4" t="s">
        <v>988</v>
      </c>
      <c r="B659" s="4" t="s">
        <v>255</v>
      </c>
      <c r="C659" s="4" t="s">
        <v>45</v>
      </c>
      <c r="D659" s="4" t="s">
        <v>22</v>
      </c>
      <c r="E659" s="4" t="s">
        <v>46</v>
      </c>
      <c r="F659" s="4" t="s">
        <v>41</v>
      </c>
      <c r="G659" s="4" t="s">
        <v>13</v>
      </c>
      <c r="H659" s="5">
        <v>15644.0</v>
      </c>
      <c r="I659" s="4" t="s">
        <v>47</v>
      </c>
    </row>
    <row r="660">
      <c r="A660" s="4" t="s">
        <v>989</v>
      </c>
      <c r="B660" s="4" t="s">
        <v>471</v>
      </c>
      <c r="C660" s="4" t="s">
        <v>18</v>
      </c>
      <c r="D660" s="4" t="s">
        <v>16</v>
      </c>
      <c r="E660" s="4" t="s">
        <v>20</v>
      </c>
      <c r="F660" s="4" t="s">
        <v>41</v>
      </c>
      <c r="G660" s="4" t="s">
        <v>11</v>
      </c>
      <c r="H660" s="5">
        <v>15322.0</v>
      </c>
      <c r="I660" s="4" t="s">
        <v>47</v>
      </c>
    </row>
    <row r="661">
      <c r="A661" s="4" t="s">
        <v>990</v>
      </c>
      <c r="B661" s="4" t="s">
        <v>305</v>
      </c>
      <c r="C661" s="4" t="s">
        <v>76</v>
      </c>
      <c r="D661" s="4" t="s">
        <v>24</v>
      </c>
      <c r="E661" s="4" t="s">
        <v>58</v>
      </c>
      <c r="F661" s="4" t="s">
        <v>41</v>
      </c>
      <c r="G661" s="4" t="s">
        <v>12</v>
      </c>
      <c r="H661" s="5">
        <v>7660.0</v>
      </c>
      <c r="I661" s="4"/>
    </row>
    <row r="662">
      <c r="A662" s="4" t="s">
        <v>991</v>
      </c>
      <c r="B662" s="4" t="s">
        <v>600</v>
      </c>
      <c r="C662" s="4" t="s">
        <v>57</v>
      </c>
      <c r="D662" s="4" t="s">
        <v>19</v>
      </c>
      <c r="E662" s="4" t="s">
        <v>20</v>
      </c>
      <c r="F662" s="4" t="s">
        <v>52</v>
      </c>
      <c r="G662" s="4" t="s">
        <v>13</v>
      </c>
      <c r="H662" s="5">
        <v>11551.0</v>
      </c>
      <c r="I662" s="4" t="s">
        <v>42</v>
      </c>
    </row>
    <row r="663">
      <c r="A663" s="4" t="s">
        <v>992</v>
      </c>
      <c r="B663" s="4" t="s">
        <v>75</v>
      </c>
      <c r="C663" s="4" t="s">
        <v>57</v>
      </c>
      <c r="D663" s="4" t="s">
        <v>19</v>
      </c>
      <c r="E663" s="4" t="s">
        <v>46</v>
      </c>
      <c r="F663" s="4" t="s">
        <v>41</v>
      </c>
      <c r="G663" s="4" t="s">
        <v>11</v>
      </c>
      <c r="H663" s="5">
        <v>14778.0</v>
      </c>
      <c r="I663" s="4" t="s">
        <v>23</v>
      </c>
    </row>
    <row r="664">
      <c r="A664" s="4" t="s">
        <v>993</v>
      </c>
      <c r="B664" s="4" t="s">
        <v>717</v>
      </c>
      <c r="C664" s="4" t="s">
        <v>18</v>
      </c>
      <c r="D664" s="4" t="s">
        <v>16</v>
      </c>
      <c r="E664" s="4" t="s">
        <v>20</v>
      </c>
      <c r="F664" s="4" t="s">
        <v>52</v>
      </c>
      <c r="G664" s="4" t="s">
        <v>12</v>
      </c>
      <c r="H664" s="5">
        <v>15364.0</v>
      </c>
      <c r="I664" s="4" t="s">
        <v>47</v>
      </c>
    </row>
    <row r="665">
      <c r="A665" s="4" t="s">
        <v>994</v>
      </c>
      <c r="B665" s="4" t="s">
        <v>310</v>
      </c>
      <c r="C665" s="4" t="s">
        <v>76</v>
      </c>
      <c r="D665" s="4" t="s">
        <v>24</v>
      </c>
      <c r="E665" s="4" t="s">
        <v>20</v>
      </c>
      <c r="F665" s="4" t="s">
        <v>21</v>
      </c>
      <c r="G665" s="4" t="s">
        <v>11</v>
      </c>
      <c r="H665" s="5">
        <v>7698.0</v>
      </c>
      <c r="I665" s="4" t="s">
        <v>23</v>
      </c>
    </row>
    <row r="666">
      <c r="A666" s="4" t="s">
        <v>995</v>
      </c>
      <c r="B666" s="4" t="s">
        <v>717</v>
      </c>
      <c r="C666" s="4" t="s">
        <v>57</v>
      </c>
      <c r="D666" s="4" t="s">
        <v>19</v>
      </c>
      <c r="E666" s="4" t="s">
        <v>20</v>
      </c>
      <c r="F666" s="4" t="s">
        <v>41</v>
      </c>
      <c r="G666" s="4" t="s">
        <v>12</v>
      </c>
      <c r="H666" s="5">
        <v>13701.0</v>
      </c>
      <c r="I666" s="4" t="s">
        <v>42</v>
      </c>
    </row>
    <row r="667">
      <c r="A667" s="4" t="s">
        <v>996</v>
      </c>
      <c r="B667" s="4" t="s">
        <v>372</v>
      </c>
      <c r="C667" s="4" t="s">
        <v>45</v>
      </c>
      <c r="D667" s="4" t="s">
        <v>22</v>
      </c>
      <c r="E667" s="4" t="s">
        <v>58</v>
      </c>
      <c r="F667" s="4" t="s">
        <v>52</v>
      </c>
      <c r="G667" s="4" t="s">
        <v>12</v>
      </c>
      <c r="H667" s="5">
        <v>15281.0</v>
      </c>
      <c r="I667" s="4" t="s">
        <v>23</v>
      </c>
    </row>
    <row r="668">
      <c r="A668" s="4" t="s">
        <v>997</v>
      </c>
      <c r="B668" s="4" t="s">
        <v>237</v>
      </c>
      <c r="C668" s="4" t="s">
        <v>18</v>
      </c>
      <c r="D668" s="4" t="s">
        <v>16</v>
      </c>
      <c r="E668" s="4" t="s">
        <v>46</v>
      </c>
      <c r="F668" s="4" t="s">
        <v>41</v>
      </c>
      <c r="G668" s="4" t="s">
        <v>12</v>
      </c>
      <c r="H668" s="5">
        <v>15520.0</v>
      </c>
      <c r="I668" s="4" t="s">
        <v>42</v>
      </c>
    </row>
    <row r="669">
      <c r="A669" s="4" t="s">
        <v>998</v>
      </c>
      <c r="B669" s="4" t="s">
        <v>405</v>
      </c>
      <c r="C669" s="4" t="s">
        <v>57</v>
      </c>
      <c r="D669" s="4" t="s">
        <v>19</v>
      </c>
      <c r="E669" s="4" t="s">
        <v>20</v>
      </c>
      <c r="F669" s="4" t="s">
        <v>41</v>
      </c>
      <c r="G669" s="4" t="s">
        <v>13</v>
      </c>
      <c r="H669" s="5">
        <v>12949.0</v>
      </c>
      <c r="I669" s="4" t="s">
        <v>42</v>
      </c>
    </row>
    <row r="670">
      <c r="A670" s="4" t="s">
        <v>999</v>
      </c>
      <c r="B670" s="4" t="s">
        <v>417</v>
      </c>
      <c r="C670" s="4" t="s">
        <v>18</v>
      </c>
      <c r="D670" s="4" t="s">
        <v>16</v>
      </c>
      <c r="E670" s="4" t="s">
        <v>46</v>
      </c>
      <c r="F670" s="4" t="s">
        <v>21</v>
      </c>
      <c r="G670" s="4" t="s">
        <v>12</v>
      </c>
      <c r="H670" s="5">
        <v>12533.0</v>
      </c>
      <c r="I670" s="4" t="s">
        <v>42</v>
      </c>
    </row>
    <row r="671">
      <c r="A671" s="4" t="s">
        <v>1000</v>
      </c>
      <c r="B671" s="4" t="s">
        <v>776</v>
      </c>
      <c r="C671" s="4" t="s">
        <v>76</v>
      </c>
      <c r="D671" s="4" t="s">
        <v>24</v>
      </c>
      <c r="E671" s="4" t="s">
        <v>20</v>
      </c>
      <c r="F671" s="4" t="s">
        <v>21</v>
      </c>
      <c r="G671" s="4" t="s">
        <v>11</v>
      </c>
      <c r="H671" s="5">
        <v>10583.0</v>
      </c>
      <c r="I671" s="4" t="s">
        <v>37</v>
      </c>
    </row>
    <row r="672">
      <c r="A672" s="4" t="s">
        <v>1001</v>
      </c>
      <c r="B672" s="4" t="s">
        <v>488</v>
      </c>
      <c r="C672" s="4" t="s">
        <v>57</v>
      </c>
      <c r="D672" s="4" t="s">
        <v>19</v>
      </c>
      <c r="E672" s="4" t="s">
        <v>58</v>
      </c>
      <c r="F672" s="4" t="s">
        <v>21</v>
      </c>
      <c r="G672" s="4" t="s">
        <v>11</v>
      </c>
      <c r="H672" s="5">
        <v>13412.0</v>
      </c>
      <c r="I672" s="4" t="s">
        <v>42</v>
      </c>
    </row>
    <row r="673">
      <c r="A673" s="4" t="s">
        <v>1002</v>
      </c>
      <c r="B673" s="4" t="s">
        <v>237</v>
      </c>
      <c r="C673" s="4" t="s">
        <v>45</v>
      </c>
      <c r="D673" s="4" t="s">
        <v>22</v>
      </c>
      <c r="E673" s="4" t="s">
        <v>58</v>
      </c>
      <c r="F673" s="4" t="s">
        <v>41</v>
      </c>
      <c r="G673" s="4" t="s">
        <v>13</v>
      </c>
      <c r="H673" s="5">
        <v>16160.0</v>
      </c>
      <c r="I673" s="4" t="s">
        <v>42</v>
      </c>
    </row>
    <row r="674">
      <c r="A674" s="4" t="s">
        <v>1003</v>
      </c>
      <c r="B674" s="4" t="s">
        <v>488</v>
      </c>
      <c r="C674" s="4" t="s">
        <v>45</v>
      </c>
      <c r="D674" s="4" t="s">
        <v>22</v>
      </c>
      <c r="E674" s="4" t="s">
        <v>46</v>
      </c>
      <c r="F674" s="4" t="s">
        <v>41</v>
      </c>
      <c r="G674" s="4" t="s">
        <v>12</v>
      </c>
      <c r="H674" s="5">
        <v>18045.0</v>
      </c>
      <c r="I674" s="4" t="s">
        <v>37</v>
      </c>
    </row>
    <row r="675">
      <c r="A675" s="4" t="s">
        <v>1004</v>
      </c>
      <c r="B675" s="4" t="s">
        <v>1005</v>
      </c>
      <c r="C675" s="4" t="s">
        <v>18</v>
      </c>
      <c r="D675" s="4" t="s">
        <v>16</v>
      </c>
      <c r="E675" s="4" t="s">
        <v>58</v>
      </c>
      <c r="F675" s="4" t="s">
        <v>52</v>
      </c>
      <c r="G675" s="4" t="s">
        <v>13</v>
      </c>
      <c r="H675" s="5">
        <v>14817.0</v>
      </c>
      <c r="I675" s="4" t="s">
        <v>47</v>
      </c>
    </row>
    <row r="676">
      <c r="A676" s="4" t="s">
        <v>1006</v>
      </c>
      <c r="B676" s="4" t="s">
        <v>152</v>
      </c>
      <c r="C676" s="4" t="s">
        <v>57</v>
      </c>
      <c r="D676" s="4" t="s">
        <v>19</v>
      </c>
      <c r="E676" s="4" t="s">
        <v>58</v>
      </c>
      <c r="F676" s="4" t="s">
        <v>52</v>
      </c>
      <c r="G676" s="4" t="s">
        <v>12</v>
      </c>
      <c r="H676" s="5">
        <v>12038.0</v>
      </c>
      <c r="I676" s="4" t="s">
        <v>47</v>
      </c>
    </row>
    <row r="677">
      <c r="A677" s="4" t="s">
        <v>1007</v>
      </c>
      <c r="B677" s="4" t="s">
        <v>488</v>
      </c>
      <c r="C677" s="4" t="s">
        <v>45</v>
      </c>
      <c r="D677" s="4" t="s">
        <v>22</v>
      </c>
      <c r="E677" s="4" t="s">
        <v>20</v>
      </c>
      <c r="F677" s="4" t="s">
        <v>21</v>
      </c>
      <c r="G677" s="4" t="s">
        <v>12</v>
      </c>
      <c r="H677" s="5">
        <v>16627.0</v>
      </c>
      <c r="I677" s="4" t="s">
        <v>23</v>
      </c>
    </row>
    <row r="678">
      <c r="A678" s="4" t="s">
        <v>1008</v>
      </c>
      <c r="B678" s="4" t="s">
        <v>108</v>
      </c>
      <c r="C678" s="4" t="s">
        <v>76</v>
      </c>
      <c r="D678" s="4" t="s">
        <v>24</v>
      </c>
      <c r="E678" s="4" t="s">
        <v>46</v>
      </c>
      <c r="F678" s="4" t="s">
        <v>21</v>
      </c>
      <c r="G678" s="4" t="s">
        <v>12</v>
      </c>
      <c r="H678" s="5">
        <v>9272.0</v>
      </c>
      <c r="I678" s="4"/>
    </row>
    <row r="679">
      <c r="A679" s="4" t="s">
        <v>1009</v>
      </c>
      <c r="B679" s="4" t="s">
        <v>154</v>
      </c>
      <c r="C679" s="4" t="s">
        <v>45</v>
      </c>
      <c r="D679" s="4" t="s">
        <v>22</v>
      </c>
      <c r="E679" s="4" t="s">
        <v>20</v>
      </c>
      <c r="F679" s="4" t="s">
        <v>21</v>
      </c>
      <c r="G679" s="4" t="s">
        <v>12</v>
      </c>
      <c r="H679" s="5">
        <v>15565.0</v>
      </c>
      <c r="I679" s="4" t="s">
        <v>37</v>
      </c>
    </row>
    <row r="680">
      <c r="A680" s="4" t="s">
        <v>1010</v>
      </c>
      <c r="B680" s="4" t="s">
        <v>44</v>
      </c>
      <c r="C680" s="4" t="s">
        <v>57</v>
      </c>
      <c r="D680" s="4" t="s">
        <v>19</v>
      </c>
      <c r="E680" s="4" t="s">
        <v>46</v>
      </c>
      <c r="F680" s="4" t="s">
        <v>41</v>
      </c>
      <c r="G680" s="4" t="s">
        <v>12</v>
      </c>
      <c r="H680" s="5">
        <v>12640.0</v>
      </c>
      <c r="I680" s="4" t="s">
        <v>47</v>
      </c>
    </row>
    <row r="681">
      <c r="A681" s="4" t="s">
        <v>1011</v>
      </c>
      <c r="B681" s="4" t="s">
        <v>482</v>
      </c>
      <c r="C681" s="4" t="s">
        <v>18</v>
      </c>
      <c r="D681" s="4" t="s">
        <v>16</v>
      </c>
      <c r="E681" s="4" t="s">
        <v>46</v>
      </c>
      <c r="F681" s="4" t="s">
        <v>21</v>
      </c>
      <c r="G681" s="4" t="s">
        <v>12</v>
      </c>
      <c r="H681" s="5">
        <v>12021.0</v>
      </c>
      <c r="I681" s="4" t="s">
        <v>37</v>
      </c>
    </row>
    <row r="682">
      <c r="A682" s="4" t="s">
        <v>1012</v>
      </c>
      <c r="B682" s="4" t="s">
        <v>529</v>
      </c>
      <c r="C682" s="4" t="s">
        <v>76</v>
      </c>
      <c r="D682" s="4" t="s">
        <v>24</v>
      </c>
      <c r="E682" s="4" t="s">
        <v>46</v>
      </c>
      <c r="F682" s="4" t="s">
        <v>41</v>
      </c>
      <c r="G682" s="4" t="s">
        <v>11</v>
      </c>
      <c r="H682" s="5">
        <v>7908.0</v>
      </c>
      <c r="I682" s="4" t="s">
        <v>47</v>
      </c>
    </row>
    <row r="683">
      <c r="A683" s="4" t="s">
        <v>1013</v>
      </c>
      <c r="B683" s="4" t="s">
        <v>459</v>
      </c>
      <c r="C683" s="4" t="s">
        <v>76</v>
      </c>
      <c r="D683" s="4" t="s">
        <v>24</v>
      </c>
      <c r="E683" s="4" t="s">
        <v>58</v>
      </c>
      <c r="F683" s="4" t="s">
        <v>52</v>
      </c>
      <c r="G683" s="4" t="s">
        <v>12</v>
      </c>
      <c r="H683" s="5">
        <v>9134.0</v>
      </c>
      <c r="I683" s="4" t="s">
        <v>47</v>
      </c>
    </row>
    <row r="684">
      <c r="A684" s="4" t="s">
        <v>1014</v>
      </c>
      <c r="B684" s="4" t="s">
        <v>459</v>
      </c>
      <c r="C684" s="4" t="s">
        <v>57</v>
      </c>
      <c r="D684" s="4" t="s">
        <v>19</v>
      </c>
      <c r="E684" s="4" t="s">
        <v>20</v>
      </c>
      <c r="F684" s="4" t="s">
        <v>21</v>
      </c>
      <c r="G684" s="4" t="s">
        <v>11</v>
      </c>
      <c r="H684" s="5">
        <v>11043.0</v>
      </c>
      <c r="I684" s="4" t="s">
        <v>23</v>
      </c>
    </row>
    <row r="685">
      <c r="A685" s="4" t="s">
        <v>1015</v>
      </c>
      <c r="B685" s="4" t="s">
        <v>361</v>
      </c>
      <c r="C685" s="4" t="s">
        <v>45</v>
      </c>
      <c r="D685" s="4" t="s">
        <v>22</v>
      </c>
      <c r="E685" s="4" t="s">
        <v>46</v>
      </c>
      <c r="F685" s="4" t="s">
        <v>41</v>
      </c>
      <c r="G685" s="4" t="s">
        <v>12</v>
      </c>
      <c r="H685" s="5">
        <v>17091.0</v>
      </c>
      <c r="I685" s="4" t="s">
        <v>42</v>
      </c>
    </row>
    <row r="686">
      <c r="A686" s="4" t="s">
        <v>1016</v>
      </c>
      <c r="B686" s="4" t="s">
        <v>70</v>
      </c>
      <c r="C686" s="4" t="s">
        <v>57</v>
      </c>
      <c r="D686" s="4" t="s">
        <v>19</v>
      </c>
      <c r="E686" s="4" t="s">
        <v>20</v>
      </c>
      <c r="F686" s="4" t="s">
        <v>41</v>
      </c>
      <c r="G686" s="4" t="s">
        <v>11</v>
      </c>
      <c r="H686" s="5">
        <v>11979.0</v>
      </c>
      <c r="I686" s="4" t="s">
        <v>37</v>
      </c>
    </row>
    <row r="687">
      <c r="A687" s="4" t="s">
        <v>1017</v>
      </c>
      <c r="B687" s="4" t="s">
        <v>351</v>
      </c>
      <c r="C687" s="4" t="s">
        <v>76</v>
      </c>
      <c r="D687" s="4" t="s">
        <v>24</v>
      </c>
      <c r="E687" s="4" t="s">
        <v>58</v>
      </c>
      <c r="F687" s="4" t="s">
        <v>52</v>
      </c>
      <c r="G687" s="4" t="s">
        <v>11</v>
      </c>
      <c r="H687" s="5">
        <v>8660.0</v>
      </c>
      <c r="I687" s="4" t="s">
        <v>42</v>
      </c>
    </row>
    <row r="688">
      <c r="A688" s="4" t="s">
        <v>1018</v>
      </c>
      <c r="B688" s="4" t="s">
        <v>233</v>
      </c>
      <c r="C688" s="4" t="s">
        <v>18</v>
      </c>
      <c r="D688" s="4" t="s">
        <v>16</v>
      </c>
      <c r="E688" s="4" t="s">
        <v>46</v>
      </c>
      <c r="F688" s="4" t="s">
        <v>52</v>
      </c>
      <c r="G688" s="4" t="s">
        <v>11</v>
      </c>
      <c r="H688" s="5">
        <v>14974.0</v>
      </c>
      <c r="I688" s="4" t="s">
        <v>42</v>
      </c>
    </row>
    <row r="689">
      <c r="A689" s="4" t="s">
        <v>1019</v>
      </c>
      <c r="B689" s="4" t="s">
        <v>1020</v>
      </c>
      <c r="C689" s="4" t="s">
        <v>45</v>
      </c>
      <c r="D689" s="4" t="s">
        <v>22</v>
      </c>
      <c r="E689" s="4" t="s">
        <v>58</v>
      </c>
      <c r="F689" s="4" t="s">
        <v>41</v>
      </c>
      <c r="G689" s="4" t="s">
        <v>12</v>
      </c>
      <c r="H689" s="5">
        <v>18944.0</v>
      </c>
      <c r="I689" s="4" t="s">
        <v>23</v>
      </c>
    </row>
    <row r="690">
      <c r="A690" s="4" t="s">
        <v>1021</v>
      </c>
      <c r="B690" s="4" t="s">
        <v>176</v>
      </c>
      <c r="C690" s="4" t="s">
        <v>18</v>
      </c>
      <c r="D690" s="4" t="s">
        <v>16</v>
      </c>
      <c r="E690" s="4" t="s">
        <v>58</v>
      </c>
      <c r="F690" s="4" t="s">
        <v>41</v>
      </c>
      <c r="G690" s="4" t="s">
        <v>11</v>
      </c>
      <c r="H690" s="5">
        <v>14073.0</v>
      </c>
      <c r="I690" s="4" t="s">
        <v>37</v>
      </c>
    </row>
    <row r="691">
      <c r="A691" s="4" t="s">
        <v>1022</v>
      </c>
      <c r="B691" s="4" t="s">
        <v>300</v>
      </c>
      <c r="C691" s="4" t="s">
        <v>45</v>
      </c>
      <c r="D691" s="4" t="s">
        <v>22</v>
      </c>
      <c r="E691" s="4" t="s">
        <v>58</v>
      </c>
      <c r="F691" s="4" t="s">
        <v>41</v>
      </c>
      <c r="G691" s="4" t="s">
        <v>12</v>
      </c>
      <c r="H691" s="5">
        <v>18918.0</v>
      </c>
      <c r="I691" s="4" t="s">
        <v>47</v>
      </c>
    </row>
    <row r="692">
      <c r="A692" s="4" t="s">
        <v>1023</v>
      </c>
      <c r="B692" s="4" t="s">
        <v>138</v>
      </c>
      <c r="C692" s="4" t="s">
        <v>45</v>
      </c>
      <c r="D692" s="4" t="s">
        <v>22</v>
      </c>
      <c r="E692" s="4" t="s">
        <v>20</v>
      </c>
      <c r="F692" s="4" t="s">
        <v>21</v>
      </c>
      <c r="G692" s="4" t="s">
        <v>11</v>
      </c>
      <c r="H692" s="5">
        <v>17306.0</v>
      </c>
      <c r="I692" s="4"/>
    </row>
    <row r="693">
      <c r="A693" s="4" t="s">
        <v>1024</v>
      </c>
      <c r="B693" s="4" t="s">
        <v>501</v>
      </c>
      <c r="C693" s="4" t="s">
        <v>45</v>
      </c>
      <c r="D693" s="4" t="s">
        <v>22</v>
      </c>
      <c r="E693" s="4" t="s">
        <v>58</v>
      </c>
      <c r="F693" s="4" t="s">
        <v>52</v>
      </c>
      <c r="G693" s="4" t="s">
        <v>11</v>
      </c>
      <c r="H693" s="5">
        <v>18672.0</v>
      </c>
      <c r="I693" s="4" t="s">
        <v>42</v>
      </c>
    </row>
    <row r="694">
      <c r="A694" s="4" t="s">
        <v>1025</v>
      </c>
      <c r="B694" s="4" t="s">
        <v>589</v>
      </c>
      <c r="C694" s="4" t="s">
        <v>18</v>
      </c>
      <c r="D694" s="4" t="s">
        <v>16</v>
      </c>
      <c r="E694" s="4" t="s">
        <v>58</v>
      </c>
      <c r="F694" s="4" t="s">
        <v>41</v>
      </c>
      <c r="G694" s="4" t="s">
        <v>11</v>
      </c>
      <c r="H694" s="5">
        <v>14595.0</v>
      </c>
      <c r="I694" s="4" t="s">
        <v>23</v>
      </c>
    </row>
    <row r="695">
      <c r="A695" s="4" t="s">
        <v>1026</v>
      </c>
      <c r="B695" s="4" t="s">
        <v>497</v>
      </c>
      <c r="C695" s="4" t="s">
        <v>45</v>
      </c>
      <c r="D695" s="4" t="s">
        <v>22</v>
      </c>
      <c r="E695" s="4" t="s">
        <v>58</v>
      </c>
      <c r="F695" s="4" t="s">
        <v>21</v>
      </c>
      <c r="G695" s="4" t="s">
        <v>12</v>
      </c>
      <c r="H695" s="5">
        <v>17194.0</v>
      </c>
      <c r="I695" s="4" t="s">
        <v>37</v>
      </c>
    </row>
    <row r="696">
      <c r="A696" s="4" t="s">
        <v>1027</v>
      </c>
      <c r="B696" s="4" t="s">
        <v>743</v>
      </c>
      <c r="C696" s="4" t="s">
        <v>57</v>
      </c>
      <c r="D696" s="4" t="s">
        <v>19</v>
      </c>
      <c r="E696" s="4" t="s">
        <v>58</v>
      </c>
      <c r="F696" s="4" t="s">
        <v>41</v>
      </c>
      <c r="G696" s="4" t="s">
        <v>11</v>
      </c>
      <c r="H696" s="5">
        <v>13759.0</v>
      </c>
      <c r="I696" s="4" t="s">
        <v>47</v>
      </c>
    </row>
    <row r="697">
      <c r="A697" s="4" t="s">
        <v>1028</v>
      </c>
      <c r="B697" s="4" t="s">
        <v>105</v>
      </c>
      <c r="C697" s="4" t="s">
        <v>76</v>
      </c>
      <c r="D697" s="4" t="s">
        <v>24</v>
      </c>
      <c r="E697" s="4" t="s">
        <v>58</v>
      </c>
      <c r="F697" s="4" t="s">
        <v>21</v>
      </c>
      <c r="G697" s="4" t="s">
        <v>13</v>
      </c>
      <c r="H697" s="5">
        <v>10663.0</v>
      </c>
      <c r="I697" s="4" t="s">
        <v>42</v>
      </c>
    </row>
    <row r="698">
      <c r="A698" s="4" t="s">
        <v>1029</v>
      </c>
      <c r="B698" s="4" t="s">
        <v>372</v>
      </c>
      <c r="C698" s="4" t="s">
        <v>57</v>
      </c>
      <c r="D698" s="4" t="s">
        <v>19</v>
      </c>
      <c r="E698" s="4" t="s">
        <v>58</v>
      </c>
      <c r="F698" s="4" t="s">
        <v>52</v>
      </c>
      <c r="G698" s="4" t="s">
        <v>13</v>
      </c>
      <c r="H698" s="5">
        <v>11961.0</v>
      </c>
      <c r="I698" s="4" t="s">
        <v>23</v>
      </c>
    </row>
    <row r="699">
      <c r="A699" s="4" t="s">
        <v>1030</v>
      </c>
      <c r="B699" s="4" t="s">
        <v>382</v>
      </c>
      <c r="C699" s="4" t="s">
        <v>57</v>
      </c>
      <c r="D699" s="4" t="s">
        <v>19</v>
      </c>
      <c r="E699" s="4" t="s">
        <v>46</v>
      </c>
      <c r="F699" s="4" t="s">
        <v>41</v>
      </c>
      <c r="G699" s="4" t="s">
        <v>12</v>
      </c>
      <c r="H699" s="5">
        <v>12458.0</v>
      </c>
      <c r="I699" s="4" t="s">
        <v>23</v>
      </c>
    </row>
    <row r="700">
      <c r="A700" s="4" t="s">
        <v>1031</v>
      </c>
      <c r="B700" s="4" t="s">
        <v>102</v>
      </c>
      <c r="C700" s="4" t="s">
        <v>18</v>
      </c>
      <c r="D700" s="4" t="s">
        <v>16</v>
      </c>
      <c r="E700" s="4" t="s">
        <v>20</v>
      </c>
      <c r="F700" s="4" t="s">
        <v>52</v>
      </c>
      <c r="G700" s="4" t="s">
        <v>11</v>
      </c>
      <c r="H700" s="5">
        <v>14514.0</v>
      </c>
      <c r="I700" s="4" t="s">
        <v>37</v>
      </c>
    </row>
    <row r="701">
      <c r="A701" s="4" t="s">
        <v>1032</v>
      </c>
      <c r="B701" s="4" t="s">
        <v>185</v>
      </c>
      <c r="C701" s="4" t="s">
        <v>18</v>
      </c>
      <c r="D701" s="4" t="s">
        <v>16</v>
      </c>
      <c r="E701" s="4" t="s">
        <v>58</v>
      </c>
      <c r="F701" s="4" t="s">
        <v>21</v>
      </c>
      <c r="G701" s="4" t="s">
        <v>12</v>
      </c>
      <c r="H701" s="5">
        <v>13291.0</v>
      </c>
      <c r="I701" s="4"/>
    </row>
    <row r="702">
      <c r="A702" s="4" t="s">
        <v>1033</v>
      </c>
      <c r="B702" s="4" t="s">
        <v>75</v>
      </c>
      <c r="C702" s="4" t="s">
        <v>45</v>
      </c>
      <c r="D702" s="4" t="s">
        <v>22</v>
      </c>
      <c r="E702" s="4" t="s">
        <v>58</v>
      </c>
      <c r="F702" s="4" t="s">
        <v>41</v>
      </c>
      <c r="G702" s="4" t="s">
        <v>12</v>
      </c>
      <c r="H702" s="5">
        <v>16147.0</v>
      </c>
      <c r="I702" s="4"/>
    </row>
    <row r="703">
      <c r="A703" s="4" t="s">
        <v>1034</v>
      </c>
      <c r="B703" s="4" t="s">
        <v>622</v>
      </c>
      <c r="C703" s="4" t="s">
        <v>57</v>
      </c>
      <c r="D703" s="4" t="s">
        <v>19</v>
      </c>
      <c r="E703" s="4" t="s">
        <v>46</v>
      </c>
      <c r="F703" s="4" t="s">
        <v>52</v>
      </c>
      <c r="G703" s="4" t="s">
        <v>11</v>
      </c>
      <c r="H703" s="5">
        <v>12959.0</v>
      </c>
      <c r="I703" s="4" t="s">
        <v>42</v>
      </c>
    </row>
    <row r="704">
      <c r="A704" s="4" t="s">
        <v>1035</v>
      </c>
      <c r="B704" s="4" t="s">
        <v>274</v>
      </c>
      <c r="C704" s="4" t="s">
        <v>76</v>
      </c>
      <c r="D704" s="4" t="s">
        <v>24</v>
      </c>
      <c r="E704" s="4" t="s">
        <v>20</v>
      </c>
      <c r="F704" s="4" t="s">
        <v>41</v>
      </c>
      <c r="G704" s="4" t="s">
        <v>11</v>
      </c>
      <c r="H704" s="5">
        <v>10999.0</v>
      </c>
      <c r="I704" s="4" t="s">
        <v>37</v>
      </c>
    </row>
    <row r="705">
      <c r="A705" s="4" t="s">
        <v>1036</v>
      </c>
      <c r="B705" s="4" t="s">
        <v>644</v>
      </c>
      <c r="C705" s="4" t="s">
        <v>45</v>
      </c>
      <c r="D705" s="4" t="s">
        <v>22</v>
      </c>
      <c r="E705" s="4" t="s">
        <v>20</v>
      </c>
      <c r="F705" s="4" t="s">
        <v>41</v>
      </c>
      <c r="G705" s="4" t="s">
        <v>13</v>
      </c>
      <c r="H705" s="5">
        <v>17761.0</v>
      </c>
      <c r="I705" s="4" t="s">
        <v>23</v>
      </c>
    </row>
    <row r="706">
      <c r="A706" s="4" t="s">
        <v>1037</v>
      </c>
      <c r="B706" s="4" t="s">
        <v>141</v>
      </c>
      <c r="C706" s="4" t="s">
        <v>45</v>
      </c>
      <c r="D706" s="4" t="s">
        <v>22</v>
      </c>
      <c r="E706" s="4" t="s">
        <v>58</v>
      </c>
      <c r="F706" s="4" t="s">
        <v>52</v>
      </c>
      <c r="G706" s="4" t="s">
        <v>11</v>
      </c>
      <c r="H706" s="5">
        <v>15766.0</v>
      </c>
      <c r="I706" s="4" t="s">
        <v>42</v>
      </c>
    </row>
    <row r="707">
      <c r="A707" s="4" t="s">
        <v>1038</v>
      </c>
      <c r="B707" s="4" t="s">
        <v>1039</v>
      </c>
      <c r="C707" s="4" t="s">
        <v>76</v>
      </c>
      <c r="D707" s="4" t="s">
        <v>24</v>
      </c>
      <c r="E707" s="4" t="s">
        <v>20</v>
      </c>
      <c r="F707" s="4" t="s">
        <v>21</v>
      </c>
      <c r="G707" s="4" t="s">
        <v>11</v>
      </c>
      <c r="H707" s="5">
        <v>7753.0</v>
      </c>
      <c r="I707" s="4"/>
    </row>
    <row r="708">
      <c r="A708" s="4" t="s">
        <v>1040</v>
      </c>
      <c r="B708" s="4" t="s">
        <v>514</v>
      </c>
      <c r="C708" s="4" t="s">
        <v>45</v>
      </c>
      <c r="D708" s="4" t="s">
        <v>22</v>
      </c>
      <c r="E708" s="4" t="s">
        <v>58</v>
      </c>
      <c r="F708" s="4" t="s">
        <v>21</v>
      </c>
      <c r="G708" s="4" t="s">
        <v>11</v>
      </c>
      <c r="H708" s="5">
        <v>16846.0</v>
      </c>
      <c r="I708" s="4" t="s">
        <v>23</v>
      </c>
    </row>
    <row r="709">
      <c r="A709" s="4" t="s">
        <v>1041</v>
      </c>
      <c r="B709" s="4" t="s">
        <v>820</v>
      </c>
      <c r="C709" s="4" t="s">
        <v>57</v>
      </c>
      <c r="D709" s="4" t="s">
        <v>19</v>
      </c>
      <c r="E709" s="4" t="s">
        <v>46</v>
      </c>
      <c r="F709" s="4" t="s">
        <v>52</v>
      </c>
      <c r="G709" s="4" t="s">
        <v>11</v>
      </c>
      <c r="H709" s="5">
        <v>14293.0</v>
      </c>
      <c r="I709" s="4" t="s">
        <v>23</v>
      </c>
    </row>
    <row r="710">
      <c r="A710" s="4" t="s">
        <v>1042</v>
      </c>
      <c r="B710" s="4" t="s">
        <v>405</v>
      </c>
      <c r="C710" s="4" t="s">
        <v>76</v>
      </c>
      <c r="D710" s="4" t="s">
        <v>24</v>
      </c>
      <c r="E710" s="4" t="s">
        <v>46</v>
      </c>
      <c r="F710" s="4" t="s">
        <v>41</v>
      </c>
      <c r="G710" s="4" t="s">
        <v>12</v>
      </c>
      <c r="H710" s="5">
        <v>7612.0</v>
      </c>
      <c r="I710" s="4"/>
    </row>
    <row r="711">
      <c r="A711" s="4" t="s">
        <v>1043</v>
      </c>
      <c r="B711" s="4" t="s">
        <v>302</v>
      </c>
      <c r="C711" s="4" t="s">
        <v>76</v>
      </c>
      <c r="D711" s="4" t="s">
        <v>24</v>
      </c>
      <c r="E711" s="4" t="s">
        <v>58</v>
      </c>
      <c r="F711" s="4" t="s">
        <v>41</v>
      </c>
      <c r="G711" s="4" t="s">
        <v>12</v>
      </c>
      <c r="H711" s="5">
        <v>9117.0</v>
      </c>
      <c r="I711" s="4" t="s">
        <v>42</v>
      </c>
    </row>
    <row r="712">
      <c r="A712" s="4" t="s">
        <v>1044</v>
      </c>
      <c r="B712" s="4" t="s">
        <v>578</v>
      </c>
      <c r="C712" s="4" t="s">
        <v>76</v>
      </c>
      <c r="D712" s="4" t="s">
        <v>24</v>
      </c>
      <c r="E712" s="4" t="s">
        <v>58</v>
      </c>
      <c r="F712" s="4" t="s">
        <v>21</v>
      </c>
      <c r="G712" s="4" t="s">
        <v>12</v>
      </c>
      <c r="H712" s="5">
        <v>10516.0</v>
      </c>
      <c r="I712" s="4" t="s">
        <v>42</v>
      </c>
    </row>
    <row r="713">
      <c r="A713" s="4" t="s">
        <v>1045</v>
      </c>
      <c r="B713" s="4" t="s">
        <v>54</v>
      </c>
      <c r="C713" s="4" t="s">
        <v>57</v>
      </c>
      <c r="D713" s="4" t="s">
        <v>19</v>
      </c>
      <c r="E713" s="4" t="s">
        <v>46</v>
      </c>
      <c r="F713" s="4" t="s">
        <v>41</v>
      </c>
      <c r="G713" s="4" t="s">
        <v>11</v>
      </c>
      <c r="H713" s="5">
        <v>12951.0</v>
      </c>
      <c r="I713" s="4" t="s">
        <v>37</v>
      </c>
    </row>
    <row r="714">
      <c r="A714" s="4" t="s">
        <v>1046</v>
      </c>
      <c r="B714" s="4" t="s">
        <v>677</v>
      </c>
      <c r="C714" s="4" t="s">
        <v>45</v>
      </c>
      <c r="D714" s="4" t="s">
        <v>22</v>
      </c>
      <c r="E714" s="4" t="s">
        <v>58</v>
      </c>
      <c r="F714" s="4" t="s">
        <v>21</v>
      </c>
      <c r="G714" s="4" t="s">
        <v>12</v>
      </c>
      <c r="H714" s="5">
        <v>17283.0</v>
      </c>
      <c r="I714" s="4" t="s">
        <v>47</v>
      </c>
    </row>
    <row r="715">
      <c r="A715" s="4" t="s">
        <v>1047</v>
      </c>
      <c r="B715" s="4" t="s">
        <v>506</v>
      </c>
      <c r="C715" s="4" t="s">
        <v>18</v>
      </c>
      <c r="D715" s="4" t="s">
        <v>16</v>
      </c>
      <c r="E715" s="4" t="s">
        <v>58</v>
      </c>
      <c r="F715" s="4" t="s">
        <v>52</v>
      </c>
      <c r="G715" s="4" t="s">
        <v>12</v>
      </c>
      <c r="H715" s="5">
        <v>12814.0</v>
      </c>
      <c r="I715" s="4" t="s">
        <v>42</v>
      </c>
    </row>
    <row r="716">
      <c r="A716" s="4" t="s">
        <v>1048</v>
      </c>
      <c r="B716" s="4" t="s">
        <v>122</v>
      </c>
      <c r="C716" s="4" t="s">
        <v>57</v>
      </c>
      <c r="D716" s="4" t="s">
        <v>19</v>
      </c>
      <c r="E716" s="4" t="s">
        <v>58</v>
      </c>
      <c r="F716" s="4" t="s">
        <v>21</v>
      </c>
      <c r="G716" s="4" t="s">
        <v>11</v>
      </c>
      <c r="H716" s="5">
        <v>13757.0</v>
      </c>
      <c r="I716" s="4" t="s">
        <v>42</v>
      </c>
    </row>
    <row r="717">
      <c r="A717" s="4" t="s">
        <v>1049</v>
      </c>
      <c r="B717" s="4" t="s">
        <v>390</v>
      </c>
      <c r="C717" s="4" t="s">
        <v>76</v>
      </c>
      <c r="D717" s="4" t="s">
        <v>24</v>
      </c>
      <c r="E717" s="4" t="s">
        <v>46</v>
      </c>
      <c r="F717" s="4" t="s">
        <v>21</v>
      </c>
      <c r="G717" s="4" t="s">
        <v>12</v>
      </c>
      <c r="H717" s="5">
        <v>8173.0</v>
      </c>
      <c r="I717" s="4"/>
    </row>
    <row r="718">
      <c r="A718" s="4" t="s">
        <v>1050</v>
      </c>
      <c r="B718" s="4" t="s">
        <v>719</v>
      </c>
      <c r="C718" s="4" t="s">
        <v>57</v>
      </c>
      <c r="D718" s="4" t="s">
        <v>19</v>
      </c>
      <c r="E718" s="4" t="s">
        <v>20</v>
      </c>
      <c r="F718" s="4" t="s">
        <v>21</v>
      </c>
      <c r="G718" s="4" t="s">
        <v>11</v>
      </c>
      <c r="H718" s="5">
        <v>13585.0</v>
      </c>
      <c r="I718" s="4" t="s">
        <v>42</v>
      </c>
    </row>
    <row r="719">
      <c r="A719" s="4" t="s">
        <v>1051</v>
      </c>
      <c r="B719" s="4" t="s">
        <v>405</v>
      </c>
      <c r="C719" s="4" t="s">
        <v>18</v>
      </c>
      <c r="D719" s="4" t="s">
        <v>16</v>
      </c>
      <c r="E719" s="4" t="s">
        <v>46</v>
      </c>
      <c r="F719" s="4" t="s">
        <v>41</v>
      </c>
      <c r="G719" s="4" t="s">
        <v>11</v>
      </c>
      <c r="H719" s="5">
        <v>12934.0</v>
      </c>
      <c r="I719" s="4" t="s">
        <v>47</v>
      </c>
    </row>
    <row r="720">
      <c r="A720" s="4" t="s">
        <v>1052</v>
      </c>
      <c r="B720" s="4" t="s">
        <v>370</v>
      </c>
      <c r="C720" s="4" t="s">
        <v>45</v>
      </c>
      <c r="D720" s="4" t="s">
        <v>22</v>
      </c>
      <c r="E720" s="4" t="s">
        <v>20</v>
      </c>
      <c r="F720" s="4" t="s">
        <v>52</v>
      </c>
      <c r="G720" s="4" t="s">
        <v>11</v>
      </c>
      <c r="H720" s="5">
        <v>16111.0</v>
      </c>
      <c r="I720" s="4"/>
    </row>
    <row r="721">
      <c r="A721" s="4" t="s">
        <v>1053</v>
      </c>
      <c r="B721" s="4" t="s">
        <v>398</v>
      </c>
      <c r="C721" s="4" t="s">
        <v>76</v>
      </c>
      <c r="D721" s="4" t="s">
        <v>24</v>
      </c>
      <c r="E721" s="4" t="s">
        <v>58</v>
      </c>
      <c r="F721" s="4" t="s">
        <v>41</v>
      </c>
      <c r="G721" s="4" t="s">
        <v>13</v>
      </c>
      <c r="H721" s="5">
        <v>10498.0</v>
      </c>
      <c r="I721" s="4" t="s">
        <v>37</v>
      </c>
    </row>
    <row r="722">
      <c r="A722" s="4" t="s">
        <v>1054</v>
      </c>
      <c r="B722" s="4" t="s">
        <v>497</v>
      </c>
      <c r="C722" s="4" t="s">
        <v>45</v>
      </c>
      <c r="D722" s="4" t="s">
        <v>22</v>
      </c>
      <c r="E722" s="4" t="s">
        <v>20</v>
      </c>
      <c r="F722" s="4" t="s">
        <v>52</v>
      </c>
      <c r="G722" s="4" t="s">
        <v>12</v>
      </c>
      <c r="H722" s="5">
        <v>15327.0</v>
      </c>
      <c r="I722" s="4" t="s">
        <v>23</v>
      </c>
    </row>
    <row r="723">
      <c r="A723" s="4" t="s">
        <v>1055</v>
      </c>
      <c r="B723" s="4" t="s">
        <v>54</v>
      </c>
      <c r="C723" s="4" t="s">
        <v>18</v>
      </c>
      <c r="D723" s="4" t="s">
        <v>16</v>
      </c>
      <c r="E723" s="4" t="s">
        <v>46</v>
      </c>
      <c r="F723" s="4" t="s">
        <v>21</v>
      </c>
      <c r="G723" s="4" t="s">
        <v>12</v>
      </c>
      <c r="H723" s="5">
        <v>12220.0</v>
      </c>
      <c r="I723" s="4" t="s">
        <v>37</v>
      </c>
    </row>
    <row r="724">
      <c r="A724" s="4" t="s">
        <v>1056</v>
      </c>
      <c r="B724" s="4" t="s">
        <v>612</v>
      </c>
      <c r="C724" s="4" t="s">
        <v>18</v>
      </c>
      <c r="D724" s="4" t="s">
        <v>16</v>
      </c>
      <c r="E724" s="4" t="s">
        <v>46</v>
      </c>
      <c r="F724" s="4" t="s">
        <v>21</v>
      </c>
      <c r="G724" s="4" t="s">
        <v>12</v>
      </c>
      <c r="H724" s="5">
        <v>12636.0</v>
      </c>
      <c r="I724" s="4" t="s">
        <v>37</v>
      </c>
    </row>
    <row r="725">
      <c r="A725" s="4" t="s">
        <v>1057</v>
      </c>
      <c r="B725" s="4" t="s">
        <v>176</v>
      </c>
      <c r="C725" s="4" t="s">
        <v>45</v>
      </c>
      <c r="D725" s="4" t="s">
        <v>22</v>
      </c>
      <c r="E725" s="4" t="s">
        <v>46</v>
      </c>
      <c r="F725" s="4" t="s">
        <v>41</v>
      </c>
      <c r="G725" s="4" t="s">
        <v>12</v>
      </c>
      <c r="H725" s="5">
        <v>16163.0</v>
      </c>
      <c r="I725" s="4"/>
    </row>
    <row r="726">
      <c r="A726" s="4" t="s">
        <v>1058</v>
      </c>
      <c r="B726" s="4" t="s">
        <v>223</v>
      </c>
      <c r="C726" s="4" t="s">
        <v>57</v>
      </c>
      <c r="D726" s="4" t="s">
        <v>19</v>
      </c>
      <c r="E726" s="4" t="s">
        <v>46</v>
      </c>
      <c r="F726" s="4" t="s">
        <v>41</v>
      </c>
      <c r="G726" s="4" t="s">
        <v>12</v>
      </c>
      <c r="H726" s="5">
        <v>12461.0</v>
      </c>
      <c r="I726" s="4" t="s">
        <v>47</v>
      </c>
    </row>
    <row r="727">
      <c r="A727" s="4" t="s">
        <v>1059</v>
      </c>
      <c r="B727" s="4" t="s">
        <v>290</v>
      </c>
      <c r="C727" s="4" t="s">
        <v>45</v>
      </c>
      <c r="D727" s="4" t="s">
        <v>22</v>
      </c>
      <c r="E727" s="4" t="s">
        <v>20</v>
      </c>
      <c r="F727" s="4" t="s">
        <v>21</v>
      </c>
      <c r="G727" s="4" t="s">
        <v>13</v>
      </c>
      <c r="H727" s="5">
        <v>18971.0</v>
      </c>
      <c r="I727" s="4" t="s">
        <v>42</v>
      </c>
    </row>
    <row r="728">
      <c r="A728" s="4" t="s">
        <v>1060</v>
      </c>
      <c r="B728" s="4" t="s">
        <v>248</v>
      </c>
      <c r="C728" s="4" t="s">
        <v>76</v>
      </c>
      <c r="D728" s="4" t="s">
        <v>24</v>
      </c>
      <c r="E728" s="4" t="s">
        <v>20</v>
      </c>
      <c r="F728" s="4" t="s">
        <v>52</v>
      </c>
      <c r="G728" s="4" t="s">
        <v>12</v>
      </c>
      <c r="H728" s="5">
        <v>10593.0</v>
      </c>
      <c r="I728" s="4" t="s">
        <v>42</v>
      </c>
    </row>
    <row r="729">
      <c r="A729" s="4" t="s">
        <v>1061</v>
      </c>
      <c r="B729" s="4" t="s">
        <v>255</v>
      </c>
      <c r="C729" s="4" t="s">
        <v>45</v>
      </c>
      <c r="D729" s="4" t="s">
        <v>22</v>
      </c>
      <c r="E729" s="4" t="s">
        <v>58</v>
      </c>
      <c r="F729" s="4" t="s">
        <v>21</v>
      </c>
      <c r="G729" s="4" t="s">
        <v>12</v>
      </c>
      <c r="H729" s="5">
        <v>15930.0</v>
      </c>
      <c r="I729" s="4" t="s">
        <v>37</v>
      </c>
    </row>
    <row r="730">
      <c r="A730" s="4" t="s">
        <v>1062</v>
      </c>
      <c r="B730" s="4" t="s">
        <v>170</v>
      </c>
      <c r="C730" s="4" t="s">
        <v>76</v>
      </c>
      <c r="D730" s="4" t="s">
        <v>24</v>
      </c>
      <c r="E730" s="4" t="s">
        <v>58</v>
      </c>
      <c r="F730" s="4" t="s">
        <v>41</v>
      </c>
      <c r="G730" s="4" t="s">
        <v>11</v>
      </c>
      <c r="H730" s="5">
        <v>7043.0</v>
      </c>
      <c r="I730" s="4" t="s">
        <v>37</v>
      </c>
    </row>
    <row r="731">
      <c r="A731" s="4" t="s">
        <v>1063</v>
      </c>
      <c r="B731" s="4" t="s">
        <v>493</v>
      </c>
      <c r="C731" s="4" t="s">
        <v>57</v>
      </c>
      <c r="D731" s="4" t="s">
        <v>19</v>
      </c>
      <c r="E731" s="4" t="s">
        <v>58</v>
      </c>
      <c r="F731" s="4" t="s">
        <v>21</v>
      </c>
      <c r="G731" s="4" t="s">
        <v>11</v>
      </c>
      <c r="H731" s="5">
        <v>13191.0</v>
      </c>
      <c r="I731" s="4" t="s">
        <v>37</v>
      </c>
    </row>
    <row r="732">
      <c r="A732" s="4" t="s">
        <v>1064</v>
      </c>
      <c r="B732" s="4" t="s">
        <v>545</v>
      </c>
      <c r="C732" s="4" t="s">
        <v>76</v>
      </c>
      <c r="D732" s="4" t="s">
        <v>24</v>
      </c>
      <c r="E732" s="4" t="s">
        <v>58</v>
      </c>
      <c r="F732" s="4" t="s">
        <v>41</v>
      </c>
      <c r="G732" s="4" t="s">
        <v>11</v>
      </c>
      <c r="H732" s="5">
        <v>10268.0</v>
      </c>
      <c r="I732" s="4" t="s">
        <v>47</v>
      </c>
    </row>
    <row r="733">
      <c r="A733" s="4" t="s">
        <v>1065</v>
      </c>
      <c r="B733" s="4" t="s">
        <v>501</v>
      </c>
      <c r="C733" s="4" t="s">
        <v>18</v>
      </c>
      <c r="D733" s="4" t="s">
        <v>16</v>
      </c>
      <c r="E733" s="4" t="s">
        <v>20</v>
      </c>
      <c r="F733" s="4" t="s">
        <v>21</v>
      </c>
      <c r="G733" s="4" t="s">
        <v>13</v>
      </c>
      <c r="H733" s="5">
        <v>13686.0</v>
      </c>
      <c r="I733" s="4" t="s">
        <v>42</v>
      </c>
    </row>
    <row r="734">
      <c r="A734" s="4" t="s">
        <v>1066</v>
      </c>
      <c r="B734" s="4" t="s">
        <v>359</v>
      </c>
      <c r="C734" s="4" t="s">
        <v>57</v>
      </c>
      <c r="D734" s="4" t="s">
        <v>19</v>
      </c>
      <c r="E734" s="4" t="s">
        <v>20</v>
      </c>
      <c r="F734" s="4" t="s">
        <v>52</v>
      </c>
      <c r="G734" s="4" t="s">
        <v>12</v>
      </c>
      <c r="H734" s="5">
        <v>12596.0</v>
      </c>
      <c r="I734" s="4"/>
    </row>
    <row r="735">
      <c r="A735" s="4" t="s">
        <v>1067</v>
      </c>
      <c r="B735" s="4" t="s">
        <v>280</v>
      </c>
      <c r="C735" s="4" t="s">
        <v>76</v>
      </c>
      <c r="D735" s="4" t="s">
        <v>24</v>
      </c>
      <c r="E735" s="4" t="s">
        <v>20</v>
      </c>
      <c r="F735" s="4" t="s">
        <v>41</v>
      </c>
      <c r="G735" s="4" t="s">
        <v>12</v>
      </c>
      <c r="H735" s="5">
        <v>10131.0</v>
      </c>
      <c r="I735" s="4" t="s">
        <v>42</v>
      </c>
    </row>
    <row r="736">
      <c r="A736" s="4" t="s">
        <v>1068</v>
      </c>
      <c r="B736" s="4" t="s">
        <v>865</v>
      </c>
      <c r="C736" s="4" t="s">
        <v>45</v>
      </c>
      <c r="D736" s="4" t="s">
        <v>22</v>
      </c>
      <c r="E736" s="4" t="s">
        <v>58</v>
      </c>
      <c r="F736" s="4" t="s">
        <v>52</v>
      </c>
      <c r="G736" s="4" t="s">
        <v>12</v>
      </c>
      <c r="H736" s="5">
        <v>17178.0</v>
      </c>
      <c r="I736" s="4" t="s">
        <v>47</v>
      </c>
    </row>
    <row r="737">
      <c r="A737" s="4" t="s">
        <v>1069</v>
      </c>
      <c r="B737" s="4" t="s">
        <v>218</v>
      </c>
      <c r="C737" s="4" t="s">
        <v>18</v>
      </c>
      <c r="D737" s="4" t="s">
        <v>16</v>
      </c>
      <c r="E737" s="4" t="s">
        <v>46</v>
      </c>
      <c r="F737" s="4" t="s">
        <v>41</v>
      </c>
      <c r="G737" s="4" t="s">
        <v>11</v>
      </c>
      <c r="H737" s="5">
        <v>12452.0</v>
      </c>
      <c r="I737" s="4"/>
    </row>
    <row r="738">
      <c r="A738" s="4" t="s">
        <v>1070</v>
      </c>
      <c r="B738" s="4" t="s">
        <v>160</v>
      </c>
      <c r="C738" s="4" t="s">
        <v>76</v>
      </c>
      <c r="D738" s="4" t="s">
        <v>24</v>
      </c>
      <c r="E738" s="4" t="s">
        <v>46</v>
      </c>
      <c r="F738" s="4" t="s">
        <v>21</v>
      </c>
      <c r="G738" s="4" t="s">
        <v>13</v>
      </c>
      <c r="H738" s="5">
        <v>7623.0</v>
      </c>
      <c r="I738" s="4" t="s">
        <v>37</v>
      </c>
    </row>
    <row r="739">
      <c r="A739" s="4" t="s">
        <v>1071</v>
      </c>
      <c r="B739" s="4" t="s">
        <v>302</v>
      </c>
      <c r="C739" s="4" t="s">
        <v>18</v>
      </c>
      <c r="D739" s="4" t="s">
        <v>16</v>
      </c>
      <c r="E739" s="4" t="s">
        <v>58</v>
      </c>
      <c r="F739" s="4" t="s">
        <v>21</v>
      </c>
      <c r="G739" s="4" t="s">
        <v>13</v>
      </c>
      <c r="H739" s="5">
        <v>14929.0</v>
      </c>
      <c r="I739" s="4"/>
    </row>
    <row r="740">
      <c r="A740" s="4" t="s">
        <v>1072</v>
      </c>
      <c r="B740" s="4" t="s">
        <v>244</v>
      </c>
      <c r="C740" s="4" t="s">
        <v>18</v>
      </c>
      <c r="D740" s="4" t="s">
        <v>16</v>
      </c>
      <c r="E740" s="4" t="s">
        <v>46</v>
      </c>
      <c r="F740" s="4" t="s">
        <v>41</v>
      </c>
      <c r="G740" s="4" t="s">
        <v>11</v>
      </c>
      <c r="H740" s="5">
        <v>12889.0</v>
      </c>
      <c r="I740" s="4" t="s">
        <v>47</v>
      </c>
    </row>
    <row r="741">
      <c r="A741" s="4" t="s">
        <v>1073</v>
      </c>
      <c r="B741" s="4" t="s">
        <v>543</v>
      </c>
      <c r="C741" s="4" t="s">
        <v>76</v>
      </c>
      <c r="D741" s="4" t="s">
        <v>24</v>
      </c>
      <c r="E741" s="4" t="s">
        <v>58</v>
      </c>
      <c r="F741" s="4" t="s">
        <v>21</v>
      </c>
      <c r="G741" s="4" t="s">
        <v>12</v>
      </c>
      <c r="H741" s="5">
        <v>10241.0</v>
      </c>
      <c r="I741" s="4" t="s">
        <v>37</v>
      </c>
    </row>
    <row r="742">
      <c r="A742" s="4" t="s">
        <v>1074</v>
      </c>
      <c r="B742" s="4" t="s">
        <v>202</v>
      </c>
      <c r="C742" s="4" t="s">
        <v>57</v>
      </c>
      <c r="D742" s="4" t="s">
        <v>19</v>
      </c>
      <c r="E742" s="4" t="s">
        <v>46</v>
      </c>
      <c r="F742" s="4" t="s">
        <v>21</v>
      </c>
      <c r="G742" s="4" t="s">
        <v>11</v>
      </c>
      <c r="H742" s="5">
        <v>11292.0</v>
      </c>
      <c r="I742" s="4" t="s">
        <v>42</v>
      </c>
    </row>
    <row r="743">
      <c r="A743" s="4" t="s">
        <v>1075</v>
      </c>
      <c r="B743" s="4" t="s">
        <v>49</v>
      </c>
      <c r="C743" s="4" t="s">
        <v>45</v>
      </c>
      <c r="D743" s="4" t="s">
        <v>22</v>
      </c>
      <c r="E743" s="4" t="s">
        <v>58</v>
      </c>
      <c r="F743" s="4" t="s">
        <v>41</v>
      </c>
      <c r="G743" s="4" t="s">
        <v>13</v>
      </c>
      <c r="H743" s="5">
        <v>18991.0</v>
      </c>
      <c r="I743" s="4" t="s">
        <v>23</v>
      </c>
    </row>
    <row r="744">
      <c r="A744" s="4" t="s">
        <v>1076</v>
      </c>
      <c r="B744" s="4" t="s">
        <v>392</v>
      </c>
      <c r="C744" s="4" t="s">
        <v>57</v>
      </c>
      <c r="D744" s="4" t="s">
        <v>19</v>
      </c>
      <c r="E744" s="4" t="s">
        <v>20</v>
      </c>
      <c r="F744" s="4" t="s">
        <v>41</v>
      </c>
      <c r="G744" s="4" t="s">
        <v>13</v>
      </c>
      <c r="H744" s="5">
        <v>12887.0</v>
      </c>
      <c r="I744" s="4" t="s">
        <v>37</v>
      </c>
    </row>
    <row r="745">
      <c r="A745" s="4" t="s">
        <v>1077</v>
      </c>
      <c r="B745" s="4" t="s">
        <v>298</v>
      </c>
      <c r="C745" s="4" t="s">
        <v>76</v>
      </c>
      <c r="D745" s="4" t="s">
        <v>24</v>
      </c>
      <c r="E745" s="4" t="s">
        <v>58</v>
      </c>
      <c r="F745" s="4" t="s">
        <v>52</v>
      </c>
      <c r="G745" s="4" t="s">
        <v>11</v>
      </c>
      <c r="H745" s="5">
        <v>10834.0</v>
      </c>
      <c r="I745" s="4" t="s">
        <v>47</v>
      </c>
    </row>
    <row r="746">
      <c r="A746" s="4" t="s">
        <v>1078</v>
      </c>
      <c r="B746" s="4" t="s">
        <v>400</v>
      </c>
      <c r="C746" s="4" t="s">
        <v>18</v>
      </c>
      <c r="D746" s="4" t="s">
        <v>16</v>
      </c>
      <c r="E746" s="4" t="s">
        <v>20</v>
      </c>
      <c r="F746" s="4" t="s">
        <v>52</v>
      </c>
      <c r="G746" s="4" t="s">
        <v>12</v>
      </c>
      <c r="H746" s="5">
        <v>12500.0</v>
      </c>
      <c r="I746" s="4" t="s">
        <v>47</v>
      </c>
    </row>
    <row r="747">
      <c r="A747" s="4" t="s">
        <v>1079</v>
      </c>
      <c r="B747" s="4" t="s">
        <v>370</v>
      </c>
      <c r="C747" s="4" t="s">
        <v>57</v>
      </c>
      <c r="D747" s="4" t="s">
        <v>19</v>
      </c>
      <c r="E747" s="4" t="s">
        <v>58</v>
      </c>
      <c r="F747" s="4" t="s">
        <v>41</v>
      </c>
      <c r="G747" s="4" t="s">
        <v>12</v>
      </c>
      <c r="H747" s="5">
        <v>11892.0</v>
      </c>
      <c r="I747" s="4" t="s">
        <v>37</v>
      </c>
    </row>
    <row r="748">
      <c r="A748" s="4" t="s">
        <v>1080</v>
      </c>
      <c r="B748" s="4" t="s">
        <v>119</v>
      </c>
      <c r="C748" s="4" t="s">
        <v>45</v>
      </c>
      <c r="D748" s="4" t="s">
        <v>22</v>
      </c>
      <c r="E748" s="4" t="s">
        <v>46</v>
      </c>
      <c r="F748" s="4" t="s">
        <v>41</v>
      </c>
      <c r="G748" s="4" t="s">
        <v>11</v>
      </c>
      <c r="H748" s="5">
        <v>17394.0</v>
      </c>
      <c r="I748" s="4" t="s">
        <v>37</v>
      </c>
    </row>
    <row r="749">
      <c r="A749" s="4" t="s">
        <v>1081</v>
      </c>
      <c r="B749" s="4" t="s">
        <v>388</v>
      </c>
      <c r="C749" s="4" t="s">
        <v>18</v>
      </c>
      <c r="D749" s="4" t="s">
        <v>16</v>
      </c>
      <c r="E749" s="4" t="s">
        <v>46</v>
      </c>
      <c r="F749" s="4" t="s">
        <v>52</v>
      </c>
      <c r="G749" s="4" t="s">
        <v>12</v>
      </c>
      <c r="H749" s="5">
        <v>13946.0</v>
      </c>
      <c r="I749" s="4" t="s">
        <v>42</v>
      </c>
    </row>
    <row r="750">
      <c r="A750" s="4" t="s">
        <v>1082</v>
      </c>
      <c r="B750" s="4" t="s">
        <v>578</v>
      </c>
      <c r="C750" s="4" t="s">
        <v>18</v>
      </c>
      <c r="D750" s="4" t="s">
        <v>16</v>
      </c>
      <c r="E750" s="4" t="s">
        <v>46</v>
      </c>
      <c r="F750" s="4" t="s">
        <v>41</v>
      </c>
      <c r="G750" s="4" t="s">
        <v>11</v>
      </c>
      <c r="H750" s="5">
        <v>12374.0</v>
      </c>
      <c r="I750" s="4" t="s">
        <v>42</v>
      </c>
    </row>
    <row r="751">
      <c r="A751" s="4" t="s">
        <v>1083</v>
      </c>
      <c r="B751" s="4" t="s">
        <v>189</v>
      </c>
      <c r="C751" s="4" t="s">
        <v>18</v>
      </c>
      <c r="D751" s="4" t="s">
        <v>16</v>
      </c>
      <c r="E751" s="4" t="s">
        <v>46</v>
      </c>
      <c r="F751" s="4" t="s">
        <v>21</v>
      </c>
      <c r="G751" s="4" t="s">
        <v>12</v>
      </c>
      <c r="H751" s="5">
        <v>12630.0</v>
      </c>
      <c r="I751" s="4" t="s">
        <v>42</v>
      </c>
    </row>
    <row r="752">
      <c r="A752" s="4" t="s">
        <v>1084</v>
      </c>
      <c r="B752" s="4" t="s">
        <v>943</v>
      </c>
      <c r="C752" s="4" t="s">
        <v>76</v>
      </c>
      <c r="D752" s="4" t="s">
        <v>24</v>
      </c>
      <c r="E752" s="4" t="s">
        <v>46</v>
      </c>
      <c r="F752" s="4" t="s">
        <v>21</v>
      </c>
      <c r="G752" s="4" t="s">
        <v>12</v>
      </c>
      <c r="H752" s="5">
        <v>10229.0</v>
      </c>
      <c r="I752" s="4" t="s">
        <v>47</v>
      </c>
    </row>
    <row r="753">
      <c r="A753" s="4" t="s">
        <v>1085</v>
      </c>
      <c r="B753" s="4" t="s">
        <v>545</v>
      </c>
      <c r="C753" s="4" t="s">
        <v>57</v>
      </c>
      <c r="D753" s="4" t="s">
        <v>19</v>
      </c>
      <c r="E753" s="4" t="s">
        <v>46</v>
      </c>
      <c r="F753" s="4" t="s">
        <v>52</v>
      </c>
      <c r="G753" s="4" t="s">
        <v>11</v>
      </c>
      <c r="H753" s="5">
        <v>12467.0</v>
      </c>
      <c r="I753" s="4" t="s">
        <v>23</v>
      </c>
    </row>
    <row r="754">
      <c r="A754" s="4" t="s">
        <v>1086</v>
      </c>
      <c r="B754" s="4" t="s">
        <v>1087</v>
      </c>
      <c r="C754" s="4" t="s">
        <v>76</v>
      </c>
      <c r="D754" s="4" t="s">
        <v>24</v>
      </c>
      <c r="E754" s="4" t="s">
        <v>20</v>
      </c>
      <c r="F754" s="4" t="s">
        <v>21</v>
      </c>
      <c r="G754" s="4" t="s">
        <v>12</v>
      </c>
      <c r="H754" s="5">
        <v>8207.0</v>
      </c>
      <c r="I754" s="4" t="s">
        <v>42</v>
      </c>
    </row>
    <row r="755">
      <c r="A755" s="4" t="s">
        <v>1088</v>
      </c>
      <c r="B755" s="4" t="s">
        <v>266</v>
      </c>
      <c r="C755" s="4" t="s">
        <v>57</v>
      </c>
      <c r="D755" s="4" t="s">
        <v>19</v>
      </c>
      <c r="E755" s="4" t="s">
        <v>20</v>
      </c>
      <c r="F755" s="4" t="s">
        <v>21</v>
      </c>
      <c r="G755" s="4" t="s">
        <v>11</v>
      </c>
      <c r="H755" s="5">
        <v>13999.0</v>
      </c>
      <c r="I755" s="4"/>
    </row>
    <row r="756">
      <c r="A756" s="4" t="s">
        <v>1089</v>
      </c>
      <c r="B756" s="4" t="s">
        <v>415</v>
      </c>
      <c r="C756" s="4" t="s">
        <v>57</v>
      </c>
      <c r="D756" s="4" t="s">
        <v>19</v>
      </c>
      <c r="E756" s="4" t="s">
        <v>46</v>
      </c>
      <c r="F756" s="4" t="s">
        <v>52</v>
      </c>
      <c r="G756" s="4" t="s">
        <v>13</v>
      </c>
      <c r="H756" s="5">
        <v>12840.0</v>
      </c>
      <c r="I756" s="4" t="s">
        <v>47</v>
      </c>
    </row>
    <row r="757">
      <c r="A757" s="4" t="s">
        <v>1090</v>
      </c>
      <c r="B757" s="4" t="s">
        <v>403</v>
      </c>
      <c r="C757" s="4" t="s">
        <v>45</v>
      </c>
      <c r="D757" s="4" t="s">
        <v>22</v>
      </c>
      <c r="E757" s="4" t="s">
        <v>58</v>
      </c>
      <c r="F757" s="4" t="s">
        <v>41</v>
      </c>
      <c r="G757" s="4" t="s">
        <v>12</v>
      </c>
      <c r="H757" s="5">
        <v>17072.0</v>
      </c>
      <c r="I757" s="4"/>
    </row>
    <row r="758">
      <c r="A758" s="4" t="s">
        <v>1091</v>
      </c>
      <c r="B758" s="4" t="s">
        <v>657</v>
      </c>
      <c r="C758" s="4" t="s">
        <v>45</v>
      </c>
      <c r="D758" s="4" t="s">
        <v>22</v>
      </c>
      <c r="E758" s="4" t="s">
        <v>20</v>
      </c>
      <c r="F758" s="4" t="s">
        <v>41</v>
      </c>
      <c r="G758" s="4" t="s">
        <v>11</v>
      </c>
      <c r="H758" s="5">
        <v>17953.0</v>
      </c>
      <c r="I758" s="4" t="s">
        <v>37</v>
      </c>
    </row>
    <row r="759">
      <c r="A759" s="4" t="s">
        <v>1092</v>
      </c>
      <c r="B759" s="4" t="s">
        <v>138</v>
      </c>
      <c r="C759" s="4" t="s">
        <v>76</v>
      </c>
      <c r="D759" s="4" t="s">
        <v>24</v>
      </c>
      <c r="E759" s="4" t="s">
        <v>46</v>
      </c>
      <c r="F759" s="4" t="s">
        <v>52</v>
      </c>
      <c r="G759" s="4" t="s">
        <v>12</v>
      </c>
      <c r="H759" s="5">
        <v>9037.0</v>
      </c>
      <c r="I759" s="4" t="s">
        <v>42</v>
      </c>
    </row>
    <row r="760">
      <c r="A760" s="4" t="s">
        <v>1093</v>
      </c>
      <c r="B760" s="4" t="s">
        <v>385</v>
      </c>
      <c r="C760" s="4" t="s">
        <v>45</v>
      </c>
      <c r="D760" s="4" t="s">
        <v>22</v>
      </c>
      <c r="E760" s="4" t="s">
        <v>58</v>
      </c>
      <c r="F760" s="4" t="s">
        <v>52</v>
      </c>
      <c r="G760" s="4" t="s">
        <v>11</v>
      </c>
      <c r="H760" s="5">
        <v>15452.0</v>
      </c>
      <c r="I760" s="4" t="s">
        <v>37</v>
      </c>
    </row>
    <row r="761">
      <c r="A761" s="4" t="s">
        <v>1094</v>
      </c>
      <c r="B761" s="4" t="s">
        <v>17</v>
      </c>
      <c r="C761" s="4" t="s">
        <v>18</v>
      </c>
      <c r="D761" s="4" t="s">
        <v>16</v>
      </c>
      <c r="E761" s="4" t="s">
        <v>46</v>
      </c>
      <c r="F761" s="4" t="s">
        <v>41</v>
      </c>
      <c r="G761" s="4" t="s">
        <v>13</v>
      </c>
      <c r="H761" s="5">
        <v>12827.0</v>
      </c>
      <c r="I761" s="4" t="s">
        <v>37</v>
      </c>
    </row>
    <row r="762">
      <c r="A762" s="4" t="s">
        <v>1095</v>
      </c>
      <c r="B762" s="4" t="s">
        <v>288</v>
      </c>
      <c r="C762" s="4" t="s">
        <v>18</v>
      </c>
      <c r="D762" s="4" t="s">
        <v>16</v>
      </c>
      <c r="E762" s="4" t="s">
        <v>20</v>
      </c>
      <c r="F762" s="4" t="s">
        <v>52</v>
      </c>
      <c r="G762" s="4" t="s">
        <v>11</v>
      </c>
      <c r="H762" s="5">
        <v>14694.0</v>
      </c>
      <c r="I762" s="4"/>
    </row>
    <row r="763">
      <c r="A763" s="4" t="s">
        <v>1096</v>
      </c>
      <c r="B763" s="4" t="s">
        <v>292</v>
      </c>
      <c r="C763" s="4" t="s">
        <v>45</v>
      </c>
      <c r="D763" s="4" t="s">
        <v>22</v>
      </c>
      <c r="E763" s="4" t="s">
        <v>46</v>
      </c>
      <c r="F763" s="4" t="s">
        <v>21</v>
      </c>
      <c r="G763" s="4" t="s">
        <v>13</v>
      </c>
      <c r="H763" s="5">
        <v>17481.0</v>
      </c>
      <c r="I763" s="4" t="s">
        <v>37</v>
      </c>
    </row>
    <row r="764">
      <c r="A764" s="4" t="s">
        <v>1097</v>
      </c>
      <c r="B764" s="4" t="s">
        <v>653</v>
      </c>
      <c r="C764" s="4" t="s">
        <v>76</v>
      </c>
      <c r="D764" s="4" t="s">
        <v>24</v>
      </c>
      <c r="E764" s="4" t="s">
        <v>46</v>
      </c>
      <c r="F764" s="4" t="s">
        <v>21</v>
      </c>
      <c r="G764" s="4" t="s">
        <v>12</v>
      </c>
      <c r="H764" s="5">
        <v>7248.0</v>
      </c>
      <c r="I764" s="4" t="s">
        <v>47</v>
      </c>
    </row>
    <row r="765">
      <c r="A765" s="4" t="s">
        <v>1098</v>
      </c>
      <c r="B765" s="4" t="s">
        <v>166</v>
      </c>
      <c r="C765" s="4" t="s">
        <v>45</v>
      </c>
      <c r="D765" s="4" t="s">
        <v>22</v>
      </c>
      <c r="E765" s="4" t="s">
        <v>20</v>
      </c>
      <c r="F765" s="4" t="s">
        <v>41</v>
      </c>
      <c r="G765" s="4" t="s">
        <v>12</v>
      </c>
      <c r="H765" s="5">
        <v>16088.0</v>
      </c>
      <c r="I765" s="4" t="s">
        <v>42</v>
      </c>
    </row>
    <row r="766">
      <c r="A766" s="4" t="s">
        <v>1099</v>
      </c>
      <c r="B766" s="4" t="s">
        <v>1100</v>
      </c>
      <c r="C766" s="4" t="s">
        <v>45</v>
      </c>
      <c r="D766" s="4" t="s">
        <v>22</v>
      </c>
      <c r="E766" s="4" t="s">
        <v>46</v>
      </c>
      <c r="F766" s="4" t="s">
        <v>41</v>
      </c>
      <c r="G766" s="4" t="s">
        <v>12</v>
      </c>
      <c r="H766" s="5">
        <v>15397.0</v>
      </c>
      <c r="I766" s="4" t="s">
        <v>37</v>
      </c>
    </row>
    <row r="767">
      <c r="A767" s="4" t="s">
        <v>1101</v>
      </c>
      <c r="B767" s="4" t="s">
        <v>40</v>
      </c>
      <c r="C767" s="4" t="s">
        <v>76</v>
      </c>
      <c r="D767" s="4" t="s">
        <v>24</v>
      </c>
      <c r="E767" s="4" t="s">
        <v>46</v>
      </c>
      <c r="F767" s="4" t="s">
        <v>41</v>
      </c>
      <c r="G767" s="4" t="s">
        <v>12</v>
      </c>
      <c r="H767" s="5">
        <v>9690.0</v>
      </c>
      <c r="I767" s="4" t="s">
        <v>23</v>
      </c>
    </row>
    <row r="768">
      <c r="A768" s="4" t="s">
        <v>1102</v>
      </c>
      <c r="B768" s="4" t="s">
        <v>522</v>
      </c>
      <c r="C768" s="4" t="s">
        <v>76</v>
      </c>
      <c r="D768" s="4" t="s">
        <v>24</v>
      </c>
      <c r="E768" s="4" t="s">
        <v>20</v>
      </c>
      <c r="F768" s="4" t="s">
        <v>41</v>
      </c>
      <c r="G768" s="4" t="s">
        <v>12</v>
      </c>
      <c r="H768" s="5">
        <v>9361.0</v>
      </c>
      <c r="I768" s="4" t="s">
        <v>47</v>
      </c>
    </row>
    <row r="769">
      <c r="A769" s="4" t="s">
        <v>1103</v>
      </c>
      <c r="B769" s="4" t="s">
        <v>583</v>
      </c>
      <c r="C769" s="4" t="s">
        <v>76</v>
      </c>
      <c r="D769" s="4" t="s">
        <v>24</v>
      </c>
      <c r="E769" s="4" t="s">
        <v>46</v>
      </c>
      <c r="F769" s="4" t="s">
        <v>41</v>
      </c>
      <c r="G769" s="4" t="s">
        <v>13</v>
      </c>
      <c r="H769" s="5">
        <v>9252.0</v>
      </c>
      <c r="I769" s="4"/>
    </row>
    <row r="770">
      <c r="A770" s="4" t="s">
        <v>1104</v>
      </c>
      <c r="B770" s="4" t="s">
        <v>192</v>
      </c>
      <c r="C770" s="4" t="s">
        <v>57</v>
      </c>
      <c r="D770" s="4" t="s">
        <v>19</v>
      </c>
      <c r="E770" s="4" t="s">
        <v>20</v>
      </c>
      <c r="F770" s="4" t="s">
        <v>52</v>
      </c>
      <c r="G770" s="4" t="s">
        <v>11</v>
      </c>
      <c r="H770" s="5">
        <v>14823.0</v>
      </c>
      <c r="I770" s="4" t="s">
        <v>47</v>
      </c>
    </row>
    <row r="771">
      <c r="A771" s="4" t="s">
        <v>1105</v>
      </c>
      <c r="B771" s="4" t="s">
        <v>396</v>
      </c>
      <c r="C771" s="4" t="s">
        <v>45</v>
      </c>
      <c r="D771" s="4" t="s">
        <v>22</v>
      </c>
      <c r="E771" s="4" t="s">
        <v>58</v>
      </c>
      <c r="F771" s="4" t="s">
        <v>21</v>
      </c>
      <c r="G771" s="4" t="s">
        <v>12</v>
      </c>
      <c r="H771" s="5">
        <v>16763.0</v>
      </c>
      <c r="I771" s="4" t="s">
        <v>47</v>
      </c>
    </row>
    <row r="772">
      <c r="A772" s="4" t="s">
        <v>1106</v>
      </c>
      <c r="B772" s="4" t="s">
        <v>70</v>
      </c>
      <c r="C772" s="4" t="s">
        <v>57</v>
      </c>
      <c r="D772" s="4" t="s">
        <v>19</v>
      </c>
      <c r="E772" s="4" t="s">
        <v>58</v>
      </c>
      <c r="F772" s="4" t="s">
        <v>52</v>
      </c>
      <c r="G772" s="4" t="s">
        <v>12</v>
      </c>
      <c r="H772" s="5">
        <v>12040.0</v>
      </c>
      <c r="I772" s="4" t="s">
        <v>47</v>
      </c>
    </row>
    <row r="773">
      <c r="A773" s="4" t="s">
        <v>1107</v>
      </c>
      <c r="B773" s="4" t="s">
        <v>64</v>
      </c>
      <c r="C773" s="4" t="s">
        <v>18</v>
      </c>
      <c r="D773" s="4" t="s">
        <v>16</v>
      </c>
      <c r="E773" s="4" t="s">
        <v>20</v>
      </c>
      <c r="F773" s="4" t="s">
        <v>41</v>
      </c>
      <c r="G773" s="4" t="s">
        <v>11</v>
      </c>
      <c r="H773" s="5">
        <v>14440.0</v>
      </c>
      <c r="I773" s="4" t="s">
        <v>37</v>
      </c>
    </row>
    <row r="774">
      <c r="A774" s="4" t="s">
        <v>1108</v>
      </c>
      <c r="B774" s="4" t="s">
        <v>331</v>
      </c>
      <c r="C774" s="4" t="s">
        <v>18</v>
      </c>
      <c r="D774" s="4" t="s">
        <v>16</v>
      </c>
      <c r="E774" s="4" t="s">
        <v>58</v>
      </c>
      <c r="F774" s="4" t="s">
        <v>41</v>
      </c>
      <c r="G774" s="4" t="s">
        <v>13</v>
      </c>
      <c r="H774" s="5">
        <v>15505.0</v>
      </c>
      <c r="I774" s="4" t="s">
        <v>47</v>
      </c>
    </row>
    <row r="775">
      <c r="A775" s="4" t="s">
        <v>1109</v>
      </c>
      <c r="B775" s="4" t="s">
        <v>180</v>
      </c>
      <c r="C775" s="4" t="s">
        <v>45</v>
      </c>
      <c r="D775" s="4" t="s">
        <v>22</v>
      </c>
      <c r="E775" s="4" t="s">
        <v>20</v>
      </c>
      <c r="F775" s="4" t="s">
        <v>52</v>
      </c>
      <c r="G775" s="4" t="s">
        <v>12</v>
      </c>
      <c r="H775" s="5">
        <v>17337.0</v>
      </c>
      <c r="I775" s="4" t="s">
        <v>42</v>
      </c>
    </row>
    <row r="776">
      <c r="A776" s="4" t="s">
        <v>1110</v>
      </c>
      <c r="B776" s="4" t="s">
        <v>56</v>
      </c>
      <c r="C776" s="4" t="s">
        <v>76</v>
      </c>
      <c r="D776" s="4" t="s">
        <v>24</v>
      </c>
      <c r="E776" s="4" t="s">
        <v>58</v>
      </c>
      <c r="F776" s="4" t="s">
        <v>41</v>
      </c>
      <c r="G776" s="4" t="s">
        <v>13</v>
      </c>
      <c r="H776" s="5">
        <v>8085.0</v>
      </c>
      <c r="I776" s="4" t="s">
        <v>47</v>
      </c>
    </row>
    <row r="777">
      <c r="A777" s="4" t="s">
        <v>1111</v>
      </c>
      <c r="B777" s="4" t="s">
        <v>619</v>
      </c>
      <c r="C777" s="4" t="s">
        <v>57</v>
      </c>
      <c r="D777" s="4" t="s">
        <v>19</v>
      </c>
      <c r="E777" s="4" t="s">
        <v>58</v>
      </c>
      <c r="F777" s="4" t="s">
        <v>21</v>
      </c>
      <c r="G777" s="4" t="s">
        <v>13</v>
      </c>
      <c r="H777" s="5">
        <v>13336.0</v>
      </c>
      <c r="I777" s="4"/>
    </row>
    <row r="778">
      <c r="A778" s="4" t="s">
        <v>1112</v>
      </c>
      <c r="B778" s="4" t="s">
        <v>653</v>
      </c>
      <c r="C778" s="4" t="s">
        <v>18</v>
      </c>
      <c r="D778" s="4" t="s">
        <v>16</v>
      </c>
      <c r="E778" s="4" t="s">
        <v>20</v>
      </c>
      <c r="F778" s="4" t="s">
        <v>21</v>
      </c>
      <c r="G778" s="4" t="s">
        <v>11</v>
      </c>
      <c r="H778" s="5">
        <v>12708.0</v>
      </c>
      <c r="I778" s="4"/>
    </row>
    <row r="779">
      <c r="A779" s="4" t="s">
        <v>1113</v>
      </c>
      <c r="B779" s="4" t="s">
        <v>343</v>
      </c>
      <c r="C779" s="4" t="s">
        <v>18</v>
      </c>
      <c r="D779" s="4" t="s">
        <v>16</v>
      </c>
      <c r="E779" s="4" t="s">
        <v>20</v>
      </c>
      <c r="F779" s="4" t="s">
        <v>52</v>
      </c>
      <c r="G779" s="4" t="s">
        <v>11</v>
      </c>
      <c r="H779" s="5">
        <v>12153.0</v>
      </c>
      <c r="I779" s="4" t="s">
        <v>42</v>
      </c>
    </row>
    <row r="780">
      <c r="A780" s="4" t="s">
        <v>1114</v>
      </c>
      <c r="B780" s="4" t="s">
        <v>253</v>
      </c>
      <c r="C780" s="4" t="s">
        <v>18</v>
      </c>
      <c r="D780" s="4" t="s">
        <v>16</v>
      </c>
      <c r="E780" s="4" t="s">
        <v>58</v>
      </c>
      <c r="F780" s="4" t="s">
        <v>21</v>
      </c>
      <c r="G780" s="4" t="s">
        <v>11</v>
      </c>
      <c r="H780" s="5">
        <v>13706.0</v>
      </c>
      <c r="I780" s="4" t="s">
        <v>37</v>
      </c>
    </row>
    <row r="781">
      <c r="A781" s="4" t="s">
        <v>1115</v>
      </c>
      <c r="B781" s="4" t="s">
        <v>388</v>
      </c>
      <c r="C781" s="4" t="s">
        <v>18</v>
      </c>
      <c r="D781" s="4" t="s">
        <v>16</v>
      </c>
      <c r="E781" s="4" t="s">
        <v>20</v>
      </c>
      <c r="F781" s="4" t="s">
        <v>52</v>
      </c>
      <c r="G781" s="4" t="s">
        <v>11</v>
      </c>
      <c r="H781" s="5">
        <v>12221.0</v>
      </c>
      <c r="I781" s="4" t="s">
        <v>47</v>
      </c>
    </row>
    <row r="782">
      <c r="A782" s="4" t="s">
        <v>1116</v>
      </c>
      <c r="B782" s="4" t="s">
        <v>163</v>
      </c>
      <c r="C782" s="4" t="s">
        <v>57</v>
      </c>
      <c r="D782" s="4" t="s">
        <v>19</v>
      </c>
      <c r="E782" s="4" t="s">
        <v>58</v>
      </c>
      <c r="F782" s="4" t="s">
        <v>52</v>
      </c>
      <c r="G782" s="4" t="s">
        <v>12</v>
      </c>
      <c r="H782" s="5">
        <v>11904.0</v>
      </c>
      <c r="I782" s="4" t="s">
        <v>23</v>
      </c>
    </row>
    <row r="783">
      <c r="A783" s="4" t="s">
        <v>1117</v>
      </c>
      <c r="B783" s="4" t="s">
        <v>400</v>
      </c>
      <c r="C783" s="4" t="s">
        <v>76</v>
      </c>
      <c r="D783" s="4" t="s">
        <v>24</v>
      </c>
      <c r="E783" s="4" t="s">
        <v>58</v>
      </c>
      <c r="F783" s="4" t="s">
        <v>52</v>
      </c>
      <c r="G783" s="4" t="s">
        <v>12</v>
      </c>
      <c r="H783" s="5">
        <v>9067.0</v>
      </c>
      <c r="I783" s="4" t="s">
        <v>37</v>
      </c>
    </row>
    <row r="784">
      <c r="A784" s="4" t="s">
        <v>1118</v>
      </c>
      <c r="B784" s="4" t="s">
        <v>535</v>
      </c>
      <c r="C784" s="4" t="s">
        <v>76</v>
      </c>
      <c r="D784" s="4" t="s">
        <v>24</v>
      </c>
      <c r="E784" s="4" t="s">
        <v>46</v>
      </c>
      <c r="F784" s="4" t="s">
        <v>41</v>
      </c>
      <c r="G784" s="4" t="s">
        <v>11</v>
      </c>
      <c r="H784" s="5">
        <v>7338.0</v>
      </c>
      <c r="I784" s="4"/>
    </row>
    <row r="785">
      <c r="A785" s="4" t="s">
        <v>1119</v>
      </c>
      <c r="B785" s="4" t="s">
        <v>564</v>
      </c>
      <c r="C785" s="4" t="s">
        <v>76</v>
      </c>
      <c r="D785" s="4" t="s">
        <v>24</v>
      </c>
      <c r="E785" s="4" t="s">
        <v>58</v>
      </c>
      <c r="F785" s="4" t="s">
        <v>41</v>
      </c>
      <c r="G785" s="4" t="s">
        <v>11</v>
      </c>
      <c r="H785" s="5">
        <v>9055.0</v>
      </c>
      <c r="I785" s="4"/>
    </row>
    <row r="786">
      <c r="A786" s="4" t="s">
        <v>1120</v>
      </c>
      <c r="B786" s="4" t="s">
        <v>195</v>
      </c>
      <c r="C786" s="4" t="s">
        <v>57</v>
      </c>
      <c r="D786" s="4" t="s">
        <v>19</v>
      </c>
      <c r="E786" s="4" t="s">
        <v>58</v>
      </c>
      <c r="F786" s="4" t="s">
        <v>52</v>
      </c>
      <c r="G786" s="4" t="s">
        <v>13</v>
      </c>
      <c r="H786" s="5">
        <v>12998.0</v>
      </c>
      <c r="I786" s="4"/>
    </row>
    <row r="787">
      <c r="A787" s="4" t="s">
        <v>1121</v>
      </c>
      <c r="B787" s="4" t="s">
        <v>619</v>
      </c>
      <c r="C787" s="4" t="s">
        <v>57</v>
      </c>
      <c r="D787" s="4" t="s">
        <v>19</v>
      </c>
      <c r="E787" s="4" t="s">
        <v>46</v>
      </c>
      <c r="F787" s="4" t="s">
        <v>41</v>
      </c>
      <c r="G787" s="4" t="s">
        <v>11</v>
      </c>
      <c r="H787" s="5">
        <v>14181.0</v>
      </c>
      <c r="I787" s="4"/>
    </row>
    <row r="788">
      <c r="A788" s="4" t="s">
        <v>1122</v>
      </c>
      <c r="B788" s="4" t="s">
        <v>207</v>
      </c>
      <c r="C788" s="4" t="s">
        <v>18</v>
      </c>
      <c r="D788" s="4" t="s">
        <v>16</v>
      </c>
      <c r="E788" s="4" t="s">
        <v>46</v>
      </c>
      <c r="F788" s="4" t="s">
        <v>52</v>
      </c>
      <c r="G788" s="4" t="s">
        <v>11</v>
      </c>
      <c r="H788" s="5">
        <v>13734.0</v>
      </c>
      <c r="I788" s="4" t="s">
        <v>47</v>
      </c>
    </row>
    <row r="789">
      <c r="A789" s="4" t="s">
        <v>1123</v>
      </c>
      <c r="B789" s="4" t="s">
        <v>491</v>
      </c>
      <c r="C789" s="4" t="s">
        <v>45</v>
      </c>
      <c r="D789" s="4" t="s">
        <v>22</v>
      </c>
      <c r="E789" s="4" t="s">
        <v>20</v>
      </c>
      <c r="F789" s="4" t="s">
        <v>52</v>
      </c>
      <c r="G789" s="4" t="s">
        <v>13</v>
      </c>
      <c r="H789" s="5">
        <v>18152.0</v>
      </c>
      <c r="I789" s="4" t="s">
        <v>47</v>
      </c>
    </row>
    <row r="790">
      <c r="A790" s="4" t="s">
        <v>1124</v>
      </c>
      <c r="B790" s="4" t="s">
        <v>51</v>
      </c>
      <c r="C790" s="4" t="s">
        <v>76</v>
      </c>
      <c r="D790" s="4" t="s">
        <v>24</v>
      </c>
      <c r="E790" s="4" t="s">
        <v>20</v>
      </c>
      <c r="F790" s="4" t="s">
        <v>41</v>
      </c>
      <c r="G790" s="4" t="s">
        <v>11</v>
      </c>
      <c r="H790" s="5">
        <v>7183.0</v>
      </c>
      <c r="I790" s="4" t="s">
        <v>23</v>
      </c>
    </row>
    <row r="791">
      <c r="A791" s="4" t="s">
        <v>1125</v>
      </c>
      <c r="B791" s="4" t="s">
        <v>413</v>
      </c>
      <c r="C791" s="4" t="s">
        <v>57</v>
      </c>
      <c r="D791" s="4" t="s">
        <v>19</v>
      </c>
      <c r="E791" s="4" t="s">
        <v>20</v>
      </c>
      <c r="F791" s="4" t="s">
        <v>41</v>
      </c>
      <c r="G791" s="4" t="s">
        <v>13</v>
      </c>
      <c r="H791" s="5">
        <v>14029.0</v>
      </c>
      <c r="I791" s="4" t="s">
        <v>37</v>
      </c>
    </row>
    <row r="792">
      <c r="A792" s="4" t="s">
        <v>1126</v>
      </c>
      <c r="B792" s="4" t="s">
        <v>473</v>
      </c>
      <c r="C792" s="4" t="s">
        <v>45</v>
      </c>
      <c r="D792" s="4" t="s">
        <v>22</v>
      </c>
      <c r="E792" s="4" t="s">
        <v>46</v>
      </c>
      <c r="F792" s="4" t="s">
        <v>21</v>
      </c>
      <c r="G792" s="4" t="s">
        <v>12</v>
      </c>
      <c r="H792" s="5">
        <v>18294.0</v>
      </c>
      <c r="I792" s="4" t="s">
        <v>37</v>
      </c>
    </row>
    <row r="793">
      <c r="A793" s="4" t="s">
        <v>1127</v>
      </c>
      <c r="B793" s="4" t="s">
        <v>290</v>
      </c>
      <c r="C793" s="4" t="s">
        <v>18</v>
      </c>
      <c r="D793" s="4" t="s">
        <v>16</v>
      </c>
      <c r="E793" s="4" t="s">
        <v>58</v>
      </c>
      <c r="F793" s="4" t="s">
        <v>41</v>
      </c>
      <c r="G793" s="4" t="s">
        <v>12</v>
      </c>
      <c r="H793" s="5">
        <v>14203.0</v>
      </c>
      <c r="I793" s="4" t="s">
        <v>23</v>
      </c>
    </row>
    <row r="794">
      <c r="A794" s="4" t="s">
        <v>1128</v>
      </c>
      <c r="B794" s="4" t="s">
        <v>215</v>
      </c>
      <c r="C794" s="4" t="s">
        <v>45</v>
      </c>
      <c r="D794" s="4" t="s">
        <v>22</v>
      </c>
      <c r="E794" s="4" t="s">
        <v>20</v>
      </c>
      <c r="F794" s="4" t="s">
        <v>21</v>
      </c>
      <c r="G794" s="4" t="s">
        <v>12</v>
      </c>
      <c r="H794" s="5">
        <v>17989.0</v>
      </c>
      <c r="I794" s="4" t="s">
        <v>23</v>
      </c>
    </row>
    <row r="795">
      <c r="A795" s="4" t="s">
        <v>1129</v>
      </c>
      <c r="B795" s="4" t="s">
        <v>865</v>
      </c>
      <c r="C795" s="4" t="s">
        <v>18</v>
      </c>
      <c r="D795" s="4" t="s">
        <v>16</v>
      </c>
      <c r="E795" s="4" t="s">
        <v>58</v>
      </c>
      <c r="F795" s="4" t="s">
        <v>52</v>
      </c>
      <c r="G795" s="4" t="s">
        <v>12</v>
      </c>
      <c r="H795" s="5">
        <v>14157.0</v>
      </c>
      <c r="I795" s="4" t="s">
        <v>37</v>
      </c>
    </row>
    <row r="796">
      <c r="A796" s="4" t="s">
        <v>1130</v>
      </c>
      <c r="B796" s="4" t="s">
        <v>657</v>
      </c>
      <c r="C796" s="4" t="s">
        <v>45</v>
      </c>
      <c r="D796" s="4" t="s">
        <v>22</v>
      </c>
      <c r="E796" s="4" t="s">
        <v>46</v>
      </c>
      <c r="F796" s="4" t="s">
        <v>52</v>
      </c>
      <c r="G796" s="4" t="s">
        <v>12</v>
      </c>
      <c r="H796" s="5">
        <v>16111.0</v>
      </c>
      <c r="I796" s="4" t="s">
        <v>37</v>
      </c>
    </row>
    <row r="797">
      <c r="A797" s="4" t="s">
        <v>1131</v>
      </c>
      <c r="B797" s="4" t="s">
        <v>1132</v>
      </c>
      <c r="C797" s="4" t="s">
        <v>18</v>
      </c>
      <c r="D797" s="4" t="s">
        <v>16</v>
      </c>
      <c r="E797" s="4" t="s">
        <v>58</v>
      </c>
      <c r="F797" s="4" t="s">
        <v>52</v>
      </c>
      <c r="G797" s="4" t="s">
        <v>11</v>
      </c>
      <c r="H797" s="5">
        <v>14715.0</v>
      </c>
      <c r="I797" s="4" t="s">
        <v>47</v>
      </c>
    </row>
    <row r="798">
      <c r="A798" s="4" t="s">
        <v>1133</v>
      </c>
      <c r="B798" s="4" t="s">
        <v>56</v>
      </c>
      <c r="C798" s="4" t="s">
        <v>45</v>
      </c>
      <c r="D798" s="4" t="s">
        <v>22</v>
      </c>
      <c r="E798" s="4" t="s">
        <v>20</v>
      </c>
      <c r="F798" s="4" t="s">
        <v>21</v>
      </c>
      <c r="G798" s="4" t="s">
        <v>13</v>
      </c>
      <c r="H798" s="5">
        <v>16559.0</v>
      </c>
      <c r="I798" s="4" t="s">
        <v>42</v>
      </c>
    </row>
    <row r="799">
      <c r="A799" s="4" t="s">
        <v>1134</v>
      </c>
      <c r="B799" s="4" t="s">
        <v>532</v>
      </c>
      <c r="C799" s="4" t="s">
        <v>76</v>
      </c>
      <c r="D799" s="4" t="s">
        <v>24</v>
      </c>
      <c r="E799" s="4" t="s">
        <v>20</v>
      </c>
      <c r="F799" s="4" t="s">
        <v>52</v>
      </c>
      <c r="G799" s="4" t="s">
        <v>13</v>
      </c>
      <c r="H799" s="5">
        <v>7763.0</v>
      </c>
      <c r="I799" s="4" t="s">
        <v>23</v>
      </c>
    </row>
    <row r="800">
      <c r="A800" s="4" t="s">
        <v>1135</v>
      </c>
      <c r="B800" s="4" t="s">
        <v>427</v>
      </c>
      <c r="C800" s="4" t="s">
        <v>18</v>
      </c>
      <c r="D800" s="4" t="s">
        <v>16</v>
      </c>
      <c r="E800" s="4" t="s">
        <v>46</v>
      </c>
      <c r="F800" s="4" t="s">
        <v>41</v>
      </c>
      <c r="G800" s="4" t="s">
        <v>12</v>
      </c>
      <c r="H800" s="5">
        <v>13248.0</v>
      </c>
      <c r="I800" s="4" t="s">
        <v>47</v>
      </c>
    </row>
    <row r="801">
      <c r="A801" s="4" t="s">
        <v>1136</v>
      </c>
      <c r="B801" s="4" t="s">
        <v>134</v>
      </c>
      <c r="C801" s="4" t="s">
        <v>57</v>
      </c>
      <c r="D801" s="4" t="s">
        <v>19</v>
      </c>
      <c r="E801" s="4" t="s">
        <v>46</v>
      </c>
      <c r="F801" s="4" t="s">
        <v>21</v>
      </c>
      <c r="G801" s="4" t="s">
        <v>12</v>
      </c>
      <c r="H801" s="5">
        <v>12441.0</v>
      </c>
      <c r="I801" s="4" t="s">
        <v>47</v>
      </c>
    </row>
    <row r="802">
      <c r="A802" s="4" t="s">
        <v>1137</v>
      </c>
      <c r="B802" s="4" t="s">
        <v>382</v>
      </c>
      <c r="C802" s="4" t="s">
        <v>45</v>
      </c>
      <c r="D802" s="4" t="s">
        <v>22</v>
      </c>
      <c r="E802" s="4" t="s">
        <v>46</v>
      </c>
      <c r="F802" s="4" t="s">
        <v>52</v>
      </c>
      <c r="G802" s="4" t="s">
        <v>11</v>
      </c>
      <c r="H802" s="5">
        <v>18599.0</v>
      </c>
      <c r="I802" s="4"/>
    </row>
    <row r="803">
      <c r="A803" s="4" t="s">
        <v>1138</v>
      </c>
      <c r="B803" s="4" t="s">
        <v>776</v>
      </c>
      <c r="C803" s="4" t="s">
        <v>45</v>
      </c>
      <c r="D803" s="4" t="s">
        <v>22</v>
      </c>
      <c r="E803" s="4" t="s">
        <v>46</v>
      </c>
      <c r="F803" s="4" t="s">
        <v>41</v>
      </c>
      <c r="G803" s="4" t="s">
        <v>11</v>
      </c>
      <c r="H803" s="5">
        <v>18674.0</v>
      </c>
      <c r="I803" s="4"/>
    </row>
    <row r="804">
      <c r="A804" s="4" t="s">
        <v>1139</v>
      </c>
      <c r="B804" s="4" t="s">
        <v>421</v>
      </c>
      <c r="C804" s="4" t="s">
        <v>76</v>
      </c>
      <c r="D804" s="4" t="s">
        <v>24</v>
      </c>
      <c r="E804" s="4" t="s">
        <v>20</v>
      </c>
      <c r="F804" s="4" t="s">
        <v>52</v>
      </c>
      <c r="G804" s="4" t="s">
        <v>12</v>
      </c>
      <c r="H804" s="5">
        <v>10574.0</v>
      </c>
      <c r="I804" s="4" t="s">
        <v>23</v>
      </c>
    </row>
    <row r="805">
      <c r="A805" s="4" t="s">
        <v>1140</v>
      </c>
      <c r="B805" s="4" t="s">
        <v>70</v>
      </c>
      <c r="C805" s="4" t="s">
        <v>57</v>
      </c>
      <c r="D805" s="4" t="s">
        <v>19</v>
      </c>
      <c r="E805" s="4" t="s">
        <v>58</v>
      </c>
      <c r="F805" s="4" t="s">
        <v>21</v>
      </c>
      <c r="G805" s="4" t="s">
        <v>12</v>
      </c>
      <c r="H805" s="5">
        <v>12348.0</v>
      </c>
      <c r="I805" s="4"/>
    </row>
    <row r="806">
      <c r="A806" s="4" t="s">
        <v>1141</v>
      </c>
      <c r="B806" s="4" t="s">
        <v>49</v>
      </c>
      <c r="C806" s="4" t="s">
        <v>57</v>
      </c>
      <c r="D806" s="4" t="s">
        <v>19</v>
      </c>
      <c r="E806" s="4" t="s">
        <v>20</v>
      </c>
      <c r="F806" s="4" t="s">
        <v>52</v>
      </c>
      <c r="G806" s="4" t="s">
        <v>12</v>
      </c>
      <c r="H806" s="5">
        <v>14277.0</v>
      </c>
      <c r="I806" s="4" t="s">
        <v>23</v>
      </c>
    </row>
    <row r="807">
      <c r="A807" s="4" t="s">
        <v>1142</v>
      </c>
      <c r="B807" s="4" t="s">
        <v>331</v>
      </c>
      <c r="C807" s="4" t="s">
        <v>57</v>
      </c>
      <c r="D807" s="4" t="s">
        <v>19</v>
      </c>
      <c r="E807" s="4" t="s">
        <v>58</v>
      </c>
      <c r="F807" s="4" t="s">
        <v>41</v>
      </c>
      <c r="G807" s="4" t="s">
        <v>12</v>
      </c>
      <c r="H807" s="5">
        <v>14821.0</v>
      </c>
      <c r="I807" s="4" t="s">
        <v>42</v>
      </c>
    </row>
    <row r="808">
      <c r="A808" s="4" t="s">
        <v>1143</v>
      </c>
      <c r="B808" s="4" t="s">
        <v>98</v>
      </c>
      <c r="C808" s="4" t="s">
        <v>18</v>
      </c>
      <c r="D808" s="4" t="s">
        <v>16</v>
      </c>
      <c r="E808" s="4" t="s">
        <v>20</v>
      </c>
      <c r="F808" s="4" t="s">
        <v>52</v>
      </c>
      <c r="G808" s="4" t="s">
        <v>12</v>
      </c>
      <c r="H808" s="5">
        <v>12484.0</v>
      </c>
      <c r="I808" s="4" t="s">
        <v>23</v>
      </c>
    </row>
    <row r="809">
      <c r="A809" s="4" t="s">
        <v>1144</v>
      </c>
      <c r="B809" s="4" t="s">
        <v>512</v>
      </c>
      <c r="C809" s="4" t="s">
        <v>18</v>
      </c>
      <c r="D809" s="4" t="s">
        <v>16</v>
      </c>
      <c r="E809" s="4" t="s">
        <v>58</v>
      </c>
      <c r="F809" s="4" t="s">
        <v>21</v>
      </c>
      <c r="G809" s="4" t="s">
        <v>11</v>
      </c>
      <c r="H809" s="5">
        <v>13242.0</v>
      </c>
      <c r="I809" s="4"/>
    </row>
    <row r="810">
      <c r="A810" s="4" t="s">
        <v>1145</v>
      </c>
      <c r="B810" s="4" t="s">
        <v>554</v>
      </c>
      <c r="C810" s="4" t="s">
        <v>45</v>
      </c>
      <c r="D810" s="4" t="s">
        <v>22</v>
      </c>
      <c r="E810" s="4" t="s">
        <v>46</v>
      </c>
      <c r="F810" s="4" t="s">
        <v>41</v>
      </c>
      <c r="G810" s="4" t="s">
        <v>13</v>
      </c>
      <c r="H810" s="5">
        <v>15538.0</v>
      </c>
      <c r="I810" s="4" t="s">
        <v>23</v>
      </c>
    </row>
    <row r="811">
      <c r="A811" s="4" t="s">
        <v>1146</v>
      </c>
      <c r="B811" s="4" t="s">
        <v>622</v>
      </c>
      <c r="C811" s="4" t="s">
        <v>45</v>
      </c>
      <c r="D811" s="4" t="s">
        <v>22</v>
      </c>
      <c r="E811" s="4" t="s">
        <v>20</v>
      </c>
      <c r="F811" s="4" t="s">
        <v>52</v>
      </c>
      <c r="G811" s="4" t="s">
        <v>12</v>
      </c>
      <c r="H811" s="5">
        <v>15945.0</v>
      </c>
      <c r="I811" s="4" t="s">
        <v>42</v>
      </c>
    </row>
    <row r="812">
      <c r="A812" s="4" t="s">
        <v>1147</v>
      </c>
      <c r="B812" s="4" t="s">
        <v>917</v>
      </c>
      <c r="C812" s="4" t="s">
        <v>18</v>
      </c>
      <c r="D812" s="4" t="s">
        <v>16</v>
      </c>
      <c r="E812" s="4" t="s">
        <v>58</v>
      </c>
      <c r="F812" s="4" t="s">
        <v>41</v>
      </c>
      <c r="G812" s="4" t="s">
        <v>12</v>
      </c>
      <c r="H812" s="5">
        <v>15194.0</v>
      </c>
      <c r="I812" s="4"/>
    </row>
    <row r="813">
      <c r="A813" s="4" t="s">
        <v>1148</v>
      </c>
      <c r="B813" s="4" t="s">
        <v>138</v>
      </c>
      <c r="C813" s="4" t="s">
        <v>76</v>
      </c>
      <c r="D813" s="4" t="s">
        <v>24</v>
      </c>
      <c r="E813" s="4" t="s">
        <v>20</v>
      </c>
      <c r="F813" s="4" t="s">
        <v>52</v>
      </c>
      <c r="G813" s="4" t="s">
        <v>11</v>
      </c>
      <c r="H813" s="5">
        <v>7753.0</v>
      </c>
      <c r="I813" s="4"/>
    </row>
    <row r="814">
      <c r="A814" s="4" t="s">
        <v>1149</v>
      </c>
      <c r="B814" s="4" t="s">
        <v>608</v>
      </c>
      <c r="C814" s="4" t="s">
        <v>57</v>
      </c>
      <c r="D814" s="4" t="s">
        <v>19</v>
      </c>
      <c r="E814" s="4" t="s">
        <v>46</v>
      </c>
      <c r="F814" s="4" t="s">
        <v>41</v>
      </c>
      <c r="G814" s="4" t="s">
        <v>13</v>
      </c>
      <c r="H814" s="5">
        <v>12673.0</v>
      </c>
      <c r="I814" s="4" t="s">
        <v>37</v>
      </c>
    </row>
    <row r="815">
      <c r="A815" s="4" t="s">
        <v>1150</v>
      </c>
      <c r="B815" s="4" t="s">
        <v>89</v>
      </c>
      <c r="C815" s="4" t="s">
        <v>57</v>
      </c>
      <c r="D815" s="4" t="s">
        <v>19</v>
      </c>
      <c r="E815" s="4" t="s">
        <v>20</v>
      </c>
      <c r="F815" s="4" t="s">
        <v>52</v>
      </c>
      <c r="G815" s="4" t="s">
        <v>13</v>
      </c>
      <c r="H815" s="5">
        <v>14103.0</v>
      </c>
      <c r="I815" s="4" t="s">
        <v>23</v>
      </c>
    </row>
    <row r="816">
      <c r="A816" s="4" t="s">
        <v>1151</v>
      </c>
      <c r="B816" s="4" t="s">
        <v>529</v>
      </c>
      <c r="C816" s="4" t="s">
        <v>76</v>
      </c>
      <c r="D816" s="4" t="s">
        <v>24</v>
      </c>
      <c r="E816" s="4" t="s">
        <v>20</v>
      </c>
      <c r="F816" s="4" t="s">
        <v>21</v>
      </c>
      <c r="G816" s="4" t="s">
        <v>11</v>
      </c>
      <c r="H816" s="5">
        <v>10635.0</v>
      </c>
      <c r="I816" s="4" t="s">
        <v>23</v>
      </c>
    </row>
    <row r="817">
      <c r="A817" s="4" t="s">
        <v>1152</v>
      </c>
      <c r="B817" s="4" t="s">
        <v>197</v>
      </c>
      <c r="C817" s="4" t="s">
        <v>18</v>
      </c>
      <c r="D817" s="4" t="s">
        <v>16</v>
      </c>
      <c r="E817" s="4" t="s">
        <v>20</v>
      </c>
      <c r="F817" s="4" t="s">
        <v>52</v>
      </c>
      <c r="G817" s="4" t="s">
        <v>11</v>
      </c>
      <c r="H817" s="5">
        <v>14949.0</v>
      </c>
      <c r="I817" s="4" t="s">
        <v>47</v>
      </c>
    </row>
    <row r="818">
      <c r="A818" s="4" t="s">
        <v>1153</v>
      </c>
      <c r="B818" s="4" t="s">
        <v>292</v>
      </c>
      <c r="C818" s="4" t="s">
        <v>18</v>
      </c>
      <c r="D818" s="4" t="s">
        <v>16</v>
      </c>
      <c r="E818" s="4" t="s">
        <v>20</v>
      </c>
      <c r="F818" s="4" t="s">
        <v>41</v>
      </c>
      <c r="G818" s="4" t="s">
        <v>11</v>
      </c>
      <c r="H818" s="5">
        <v>13871.0</v>
      </c>
      <c r="I818" s="4" t="s">
        <v>37</v>
      </c>
    </row>
    <row r="819">
      <c r="A819" s="4" t="s">
        <v>1154</v>
      </c>
      <c r="B819" s="4" t="s">
        <v>40</v>
      </c>
      <c r="C819" s="4" t="s">
        <v>76</v>
      </c>
      <c r="D819" s="4" t="s">
        <v>24</v>
      </c>
      <c r="E819" s="4" t="s">
        <v>20</v>
      </c>
      <c r="F819" s="4" t="s">
        <v>41</v>
      </c>
      <c r="G819" s="4" t="s">
        <v>12</v>
      </c>
      <c r="H819" s="5">
        <v>8586.0</v>
      </c>
      <c r="I819" s="4" t="s">
        <v>42</v>
      </c>
    </row>
    <row r="820">
      <c r="A820" s="4" t="s">
        <v>1155</v>
      </c>
      <c r="B820" s="4" t="s">
        <v>1132</v>
      </c>
      <c r="C820" s="4" t="s">
        <v>57</v>
      </c>
      <c r="D820" s="4" t="s">
        <v>19</v>
      </c>
      <c r="E820" s="4" t="s">
        <v>58</v>
      </c>
      <c r="F820" s="4" t="s">
        <v>21</v>
      </c>
      <c r="G820" s="4" t="s">
        <v>11</v>
      </c>
      <c r="H820" s="5">
        <v>14622.0</v>
      </c>
      <c r="I820" s="4" t="s">
        <v>47</v>
      </c>
    </row>
    <row r="821">
      <c r="A821" s="4" t="s">
        <v>1156</v>
      </c>
      <c r="B821" s="4" t="s">
        <v>743</v>
      </c>
      <c r="C821" s="4" t="s">
        <v>76</v>
      </c>
      <c r="D821" s="4" t="s">
        <v>24</v>
      </c>
      <c r="E821" s="4" t="s">
        <v>46</v>
      </c>
      <c r="F821" s="4" t="s">
        <v>21</v>
      </c>
      <c r="G821" s="4" t="s">
        <v>11</v>
      </c>
      <c r="H821" s="5">
        <v>9511.0</v>
      </c>
      <c r="I821" s="4" t="s">
        <v>37</v>
      </c>
    </row>
    <row r="822">
      <c r="A822" s="4" t="s">
        <v>1157</v>
      </c>
      <c r="B822" s="4" t="s">
        <v>105</v>
      </c>
      <c r="C822" s="4" t="s">
        <v>76</v>
      </c>
      <c r="D822" s="4" t="s">
        <v>24</v>
      </c>
      <c r="E822" s="4" t="s">
        <v>20</v>
      </c>
      <c r="F822" s="4" t="s">
        <v>21</v>
      </c>
      <c r="G822" s="4" t="s">
        <v>13</v>
      </c>
      <c r="H822" s="5">
        <v>9959.0</v>
      </c>
      <c r="I822" s="4" t="s">
        <v>42</v>
      </c>
    </row>
    <row r="823">
      <c r="A823" s="4" t="s">
        <v>1158</v>
      </c>
      <c r="B823" s="4" t="s">
        <v>174</v>
      </c>
      <c r="C823" s="4" t="s">
        <v>57</v>
      </c>
      <c r="D823" s="4" t="s">
        <v>19</v>
      </c>
      <c r="E823" s="4" t="s">
        <v>58</v>
      </c>
      <c r="F823" s="4" t="s">
        <v>21</v>
      </c>
      <c r="G823" s="4" t="s">
        <v>11</v>
      </c>
      <c r="H823" s="5">
        <v>12846.0</v>
      </c>
      <c r="I823" s="4" t="s">
        <v>37</v>
      </c>
    </row>
    <row r="824">
      <c r="A824" s="4" t="s">
        <v>1159</v>
      </c>
      <c r="B824" s="4" t="s">
        <v>700</v>
      </c>
      <c r="C824" s="4" t="s">
        <v>57</v>
      </c>
      <c r="D824" s="4" t="s">
        <v>19</v>
      </c>
      <c r="E824" s="4" t="s">
        <v>58</v>
      </c>
      <c r="F824" s="4" t="s">
        <v>41</v>
      </c>
      <c r="G824" s="4" t="s">
        <v>11</v>
      </c>
      <c r="H824" s="5">
        <v>12327.0</v>
      </c>
      <c r="I824" s="4" t="s">
        <v>23</v>
      </c>
    </row>
    <row r="825">
      <c r="A825" s="4" t="s">
        <v>1160</v>
      </c>
      <c r="B825" s="4" t="s">
        <v>1100</v>
      </c>
      <c r="C825" s="4" t="s">
        <v>18</v>
      </c>
      <c r="D825" s="4" t="s">
        <v>16</v>
      </c>
      <c r="E825" s="4" t="s">
        <v>46</v>
      </c>
      <c r="F825" s="4" t="s">
        <v>52</v>
      </c>
      <c r="G825" s="4" t="s">
        <v>11</v>
      </c>
      <c r="H825" s="5">
        <v>14597.0</v>
      </c>
      <c r="I825" s="4" t="s">
        <v>47</v>
      </c>
    </row>
    <row r="826">
      <c r="A826" s="4" t="s">
        <v>1161</v>
      </c>
      <c r="B826" s="4" t="s">
        <v>648</v>
      </c>
      <c r="C826" s="4" t="s">
        <v>76</v>
      </c>
      <c r="D826" s="4" t="s">
        <v>24</v>
      </c>
      <c r="E826" s="4" t="s">
        <v>20</v>
      </c>
      <c r="F826" s="4" t="s">
        <v>52</v>
      </c>
      <c r="G826" s="4" t="s">
        <v>12</v>
      </c>
      <c r="H826" s="5">
        <v>10890.0</v>
      </c>
      <c r="I826" s="4" t="s">
        <v>23</v>
      </c>
    </row>
    <row r="827">
      <c r="A827" s="4" t="s">
        <v>1162</v>
      </c>
      <c r="B827" s="4" t="s">
        <v>488</v>
      </c>
      <c r="C827" s="4" t="s">
        <v>18</v>
      </c>
      <c r="D827" s="4" t="s">
        <v>16</v>
      </c>
      <c r="E827" s="4" t="s">
        <v>46</v>
      </c>
      <c r="F827" s="4" t="s">
        <v>21</v>
      </c>
      <c r="G827" s="4" t="s">
        <v>12</v>
      </c>
      <c r="H827" s="5">
        <v>15568.0</v>
      </c>
      <c r="I827" s="4" t="s">
        <v>23</v>
      </c>
    </row>
    <row r="828">
      <c r="A828" s="4" t="s">
        <v>1163</v>
      </c>
      <c r="B828" s="4" t="s">
        <v>512</v>
      </c>
      <c r="C828" s="4" t="s">
        <v>57</v>
      </c>
      <c r="D828" s="4" t="s">
        <v>19</v>
      </c>
      <c r="E828" s="4" t="s">
        <v>20</v>
      </c>
      <c r="F828" s="4" t="s">
        <v>41</v>
      </c>
      <c r="G828" s="4" t="s">
        <v>11</v>
      </c>
      <c r="H828" s="5">
        <v>12261.0</v>
      </c>
      <c r="I828" s="4" t="s">
        <v>47</v>
      </c>
    </row>
    <row r="829">
      <c r="A829" s="4" t="s">
        <v>1164</v>
      </c>
      <c r="B829" s="4" t="s">
        <v>392</v>
      </c>
      <c r="C829" s="4" t="s">
        <v>45</v>
      </c>
      <c r="D829" s="4" t="s">
        <v>22</v>
      </c>
      <c r="E829" s="4" t="s">
        <v>20</v>
      </c>
      <c r="F829" s="4" t="s">
        <v>41</v>
      </c>
      <c r="G829" s="4" t="s">
        <v>13</v>
      </c>
      <c r="H829" s="5">
        <v>18680.0</v>
      </c>
      <c r="I829" s="4" t="s">
        <v>23</v>
      </c>
    </row>
    <row r="830">
      <c r="A830" s="4" t="s">
        <v>1165</v>
      </c>
      <c r="B830" s="4" t="s">
        <v>143</v>
      </c>
      <c r="C830" s="4" t="s">
        <v>45</v>
      </c>
      <c r="D830" s="4" t="s">
        <v>22</v>
      </c>
      <c r="E830" s="4" t="s">
        <v>46</v>
      </c>
      <c r="F830" s="4" t="s">
        <v>21</v>
      </c>
      <c r="G830" s="4" t="s">
        <v>11</v>
      </c>
      <c r="H830" s="5">
        <v>18503.0</v>
      </c>
      <c r="I830" s="4"/>
    </row>
    <row r="831">
      <c r="A831" s="4" t="s">
        <v>1166</v>
      </c>
      <c r="B831" s="4" t="s">
        <v>79</v>
      </c>
      <c r="C831" s="4" t="s">
        <v>76</v>
      </c>
      <c r="D831" s="4" t="s">
        <v>24</v>
      </c>
      <c r="E831" s="4" t="s">
        <v>46</v>
      </c>
      <c r="F831" s="4" t="s">
        <v>41</v>
      </c>
      <c r="G831" s="4" t="s">
        <v>12</v>
      </c>
      <c r="H831" s="5">
        <v>9701.0</v>
      </c>
      <c r="I831" s="4"/>
    </row>
    <row r="832">
      <c r="A832" s="4" t="s">
        <v>1167</v>
      </c>
      <c r="B832" s="4" t="s">
        <v>627</v>
      </c>
      <c r="C832" s="4" t="s">
        <v>18</v>
      </c>
      <c r="D832" s="4" t="s">
        <v>16</v>
      </c>
      <c r="E832" s="4" t="s">
        <v>20</v>
      </c>
      <c r="F832" s="4" t="s">
        <v>52</v>
      </c>
      <c r="G832" s="4" t="s">
        <v>13</v>
      </c>
      <c r="H832" s="5">
        <v>13002.0</v>
      </c>
      <c r="I832" s="4" t="s">
        <v>42</v>
      </c>
    </row>
    <row r="833">
      <c r="A833" s="4" t="s">
        <v>1168</v>
      </c>
      <c r="B833" s="4" t="s">
        <v>263</v>
      </c>
      <c r="C833" s="4" t="s">
        <v>57</v>
      </c>
      <c r="D833" s="4" t="s">
        <v>19</v>
      </c>
      <c r="E833" s="4" t="s">
        <v>46</v>
      </c>
      <c r="F833" s="4" t="s">
        <v>41</v>
      </c>
      <c r="G833" s="4" t="s">
        <v>13</v>
      </c>
      <c r="H833" s="5">
        <v>11225.0</v>
      </c>
      <c r="I833" s="4" t="s">
        <v>47</v>
      </c>
    </row>
    <row r="834">
      <c r="A834" s="4" t="s">
        <v>1169</v>
      </c>
      <c r="B834" s="4" t="s">
        <v>719</v>
      </c>
      <c r="C834" s="4" t="s">
        <v>18</v>
      </c>
      <c r="D834" s="4" t="s">
        <v>16</v>
      </c>
      <c r="E834" s="4" t="s">
        <v>20</v>
      </c>
      <c r="F834" s="4" t="s">
        <v>52</v>
      </c>
      <c r="G834" s="4" t="s">
        <v>12</v>
      </c>
      <c r="H834" s="5">
        <v>13222.0</v>
      </c>
      <c r="I834" s="4" t="s">
        <v>47</v>
      </c>
    </row>
    <row r="835">
      <c r="A835" s="4" t="s">
        <v>1170</v>
      </c>
      <c r="B835" s="4" t="s">
        <v>56</v>
      </c>
      <c r="C835" s="4" t="s">
        <v>18</v>
      </c>
      <c r="D835" s="4" t="s">
        <v>16</v>
      </c>
      <c r="E835" s="4" t="s">
        <v>58</v>
      </c>
      <c r="F835" s="4" t="s">
        <v>41</v>
      </c>
      <c r="G835" s="4" t="s">
        <v>13</v>
      </c>
      <c r="H835" s="5">
        <v>14752.0</v>
      </c>
      <c r="I835" s="4" t="s">
        <v>47</v>
      </c>
    </row>
    <row r="836">
      <c r="A836" s="4" t="s">
        <v>1171</v>
      </c>
      <c r="B836" s="4" t="s">
        <v>400</v>
      </c>
      <c r="C836" s="4" t="s">
        <v>57</v>
      </c>
      <c r="D836" s="4" t="s">
        <v>19</v>
      </c>
      <c r="E836" s="4" t="s">
        <v>58</v>
      </c>
      <c r="F836" s="4" t="s">
        <v>52</v>
      </c>
      <c r="G836" s="4" t="s">
        <v>12</v>
      </c>
      <c r="H836" s="5">
        <v>12475.0</v>
      </c>
      <c r="I836" s="4" t="s">
        <v>37</v>
      </c>
    </row>
    <row r="837">
      <c r="A837" s="4" t="s">
        <v>1172</v>
      </c>
      <c r="B837" s="4" t="s">
        <v>1173</v>
      </c>
      <c r="C837" s="4" t="s">
        <v>45</v>
      </c>
      <c r="D837" s="4" t="s">
        <v>22</v>
      </c>
      <c r="E837" s="4" t="s">
        <v>58</v>
      </c>
      <c r="F837" s="4" t="s">
        <v>21</v>
      </c>
      <c r="G837" s="4" t="s">
        <v>13</v>
      </c>
      <c r="H837" s="5">
        <v>18106.0</v>
      </c>
      <c r="I837" s="4"/>
    </row>
    <row r="838">
      <c r="A838" s="4" t="s">
        <v>1174</v>
      </c>
      <c r="B838" s="4" t="s">
        <v>1005</v>
      </c>
      <c r="C838" s="4" t="s">
        <v>45</v>
      </c>
      <c r="D838" s="4" t="s">
        <v>22</v>
      </c>
      <c r="E838" s="4" t="s">
        <v>58</v>
      </c>
      <c r="F838" s="4" t="s">
        <v>41</v>
      </c>
      <c r="G838" s="4" t="s">
        <v>13</v>
      </c>
      <c r="H838" s="5">
        <v>17845.0</v>
      </c>
      <c r="I838" s="4" t="s">
        <v>47</v>
      </c>
    </row>
    <row r="839">
      <c r="A839" s="4" t="s">
        <v>1175</v>
      </c>
      <c r="B839" s="4" t="s">
        <v>488</v>
      </c>
      <c r="C839" s="4" t="s">
        <v>57</v>
      </c>
      <c r="D839" s="4" t="s">
        <v>19</v>
      </c>
      <c r="E839" s="4" t="s">
        <v>20</v>
      </c>
      <c r="F839" s="4" t="s">
        <v>41</v>
      </c>
      <c r="G839" s="4" t="s">
        <v>12</v>
      </c>
      <c r="H839" s="5">
        <v>11238.0</v>
      </c>
      <c r="I839" s="4" t="s">
        <v>37</v>
      </c>
    </row>
    <row r="840">
      <c r="A840" s="4" t="s">
        <v>1176</v>
      </c>
      <c r="B840" s="4" t="s">
        <v>865</v>
      </c>
      <c r="C840" s="4" t="s">
        <v>18</v>
      </c>
      <c r="D840" s="4" t="s">
        <v>16</v>
      </c>
      <c r="E840" s="4" t="s">
        <v>58</v>
      </c>
      <c r="F840" s="4" t="s">
        <v>52</v>
      </c>
      <c r="G840" s="4" t="s">
        <v>12</v>
      </c>
      <c r="H840" s="5">
        <v>14477.0</v>
      </c>
      <c r="I840" s="4" t="s">
        <v>47</v>
      </c>
    </row>
    <row r="841">
      <c r="A841" s="4" t="s">
        <v>1177</v>
      </c>
      <c r="B841" s="4" t="s">
        <v>937</v>
      </c>
      <c r="C841" s="4" t="s">
        <v>45</v>
      </c>
      <c r="D841" s="4" t="s">
        <v>22</v>
      </c>
      <c r="E841" s="4" t="s">
        <v>58</v>
      </c>
      <c r="F841" s="4" t="s">
        <v>52</v>
      </c>
      <c r="G841" s="4" t="s">
        <v>12</v>
      </c>
      <c r="H841" s="5">
        <v>17552.0</v>
      </c>
      <c r="I841" s="4" t="s">
        <v>47</v>
      </c>
    </row>
    <row r="842">
      <c r="A842" s="4" t="s">
        <v>1178</v>
      </c>
      <c r="B842" s="4" t="s">
        <v>820</v>
      </c>
      <c r="C842" s="4" t="s">
        <v>76</v>
      </c>
      <c r="D842" s="4" t="s">
        <v>24</v>
      </c>
      <c r="E842" s="4" t="s">
        <v>20</v>
      </c>
      <c r="F842" s="4" t="s">
        <v>52</v>
      </c>
      <c r="G842" s="4" t="s">
        <v>12</v>
      </c>
      <c r="H842" s="5">
        <v>9038.0</v>
      </c>
      <c r="I842" s="4"/>
    </row>
    <row r="843">
      <c r="A843" s="4" t="s">
        <v>1179</v>
      </c>
      <c r="B843" s="4" t="s">
        <v>820</v>
      </c>
      <c r="C843" s="4" t="s">
        <v>57</v>
      </c>
      <c r="D843" s="4" t="s">
        <v>19</v>
      </c>
      <c r="E843" s="4" t="s">
        <v>20</v>
      </c>
      <c r="F843" s="4" t="s">
        <v>21</v>
      </c>
      <c r="G843" s="4" t="s">
        <v>13</v>
      </c>
      <c r="H843" s="5">
        <v>11006.0</v>
      </c>
      <c r="I843" s="4" t="s">
        <v>37</v>
      </c>
    </row>
    <row r="844">
      <c r="A844" s="4" t="s">
        <v>1180</v>
      </c>
      <c r="B844" s="4" t="s">
        <v>429</v>
      </c>
      <c r="C844" s="4" t="s">
        <v>18</v>
      </c>
      <c r="D844" s="4" t="s">
        <v>16</v>
      </c>
      <c r="E844" s="4" t="s">
        <v>20</v>
      </c>
      <c r="F844" s="4" t="s">
        <v>41</v>
      </c>
      <c r="G844" s="4" t="s">
        <v>12</v>
      </c>
      <c r="H844" s="5">
        <v>13698.0</v>
      </c>
      <c r="I844" s="4"/>
    </row>
    <row r="845">
      <c r="A845" s="4" t="s">
        <v>1181</v>
      </c>
      <c r="B845" s="4" t="s">
        <v>374</v>
      </c>
      <c r="C845" s="4" t="s">
        <v>57</v>
      </c>
      <c r="D845" s="4" t="s">
        <v>19</v>
      </c>
      <c r="E845" s="4" t="s">
        <v>46</v>
      </c>
      <c r="F845" s="4" t="s">
        <v>52</v>
      </c>
      <c r="G845" s="4" t="s">
        <v>13</v>
      </c>
      <c r="H845" s="5">
        <v>13826.0</v>
      </c>
      <c r="I845" s="4" t="s">
        <v>47</v>
      </c>
    </row>
    <row r="846">
      <c r="A846" s="4" t="s">
        <v>1182</v>
      </c>
      <c r="B846" s="4" t="s">
        <v>752</v>
      </c>
      <c r="C846" s="4" t="s">
        <v>45</v>
      </c>
      <c r="D846" s="4" t="s">
        <v>22</v>
      </c>
      <c r="E846" s="4" t="s">
        <v>58</v>
      </c>
      <c r="F846" s="4" t="s">
        <v>52</v>
      </c>
      <c r="G846" s="4" t="s">
        <v>12</v>
      </c>
      <c r="H846" s="5">
        <v>16326.0</v>
      </c>
      <c r="I846" s="4" t="s">
        <v>37</v>
      </c>
    </row>
    <row r="847">
      <c r="A847" s="4" t="s">
        <v>1183</v>
      </c>
      <c r="B847" s="4" t="s">
        <v>413</v>
      </c>
      <c r="C847" s="4" t="s">
        <v>45</v>
      </c>
      <c r="D847" s="4" t="s">
        <v>22</v>
      </c>
      <c r="E847" s="4" t="s">
        <v>58</v>
      </c>
      <c r="F847" s="4" t="s">
        <v>52</v>
      </c>
      <c r="G847" s="4" t="s">
        <v>12</v>
      </c>
      <c r="H847" s="5">
        <v>17523.0</v>
      </c>
      <c r="I847" s="4" t="s">
        <v>37</v>
      </c>
    </row>
    <row r="848">
      <c r="A848" s="4" t="s">
        <v>1184</v>
      </c>
      <c r="B848" s="4" t="s">
        <v>49</v>
      </c>
      <c r="C848" s="4" t="s">
        <v>45</v>
      </c>
      <c r="D848" s="4" t="s">
        <v>22</v>
      </c>
      <c r="E848" s="4" t="s">
        <v>58</v>
      </c>
      <c r="F848" s="4" t="s">
        <v>52</v>
      </c>
      <c r="G848" s="4" t="s">
        <v>11</v>
      </c>
      <c r="H848" s="5">
        <v>18752.0</v>
      </c>
      <c r="I848" s="4"/>
    </row>
    <row r="849">
      <c r="A849" s="4" t="s">
        <v>1185</v>
      </c>
      <c r="B849" s="4" t="s">
        <v>85</v>
      </c>
      <c r="C849" s="4" t="s">
        <v>57</v>
      </c>
      <c r="D849" s="4" t="s">
        <v>19</v>
      </c>
      <c r="E849" s="4" t="s">
        <v>58</v>
      </c>
      <c r="F849" s="4" t="s">
        <v>41</v>
      </c>
      <c r="G849" s="4" t="s">
        <v>12</v>
      </c>
      <c r="H849" s="5">
        <v>12886.0</v>
      </c>
      <c r="I849" s="4" t="s">
        <v>42</v>
      </c>
    </row>
    <row r="850">
      <c r="A850" s="4" t="s">
        <v>1186</v>
      </c>
      <c r="B850" s="4" t="s">
        <v>902</v>
      </c>
      <c r="C850" s="4" t="s">
        <v>76</v>
      </c>
      <c r="D850" s="4" t="s">
        <v>24</v>
      </c>
      <c r="E850" s="4" t="s">
        <v>20</v>
      </c>
      <c r="F850" s="4" t="s">
        <v>41</v>
      </c>
      <c r="G850" s="4" t="s">
        <v>12</v>
      </c>
      <c r="H850" s="5">
        <v>8226.0</v>
      </c>
      <c r="I850" s="4" t="s">
        <v>42</v>
      </c>
    </row>
    <row r="851">
      <c r="A851" s="4" t="s">
        <v>1187</v>
      </c>
      <c r="B851" s="4" t="s">
        <v>413</v>
      </c>
      <c r="C851" s="4" t="s">
        <v>18</v>
      </c>
      <c r="D851" s="4" t="s">
        <v>16</v>
      </c>
      <c r="E851" s="4" t="s">
        <v>46</v>
      </c>
      <c r="F851" s="4" t="s">
        <v>52</v>
      </c>
      <c r="G851" s="4" t="s">
        <v>12</v>
      </c>
      <c r="H851" s="5">
        <v>13358.0</v>
      </c>
      <c r="I851" s="4" t="s">
        <v>47</v>
      </c>
    </row>
    <row r="852">
      <c r="A852" s="4" t="s">
        <v>1188</v>
      </c>
      <c r="B852" s="4" t="s">
        <v>331</v>
      </c>
      <c r="C852" s="4" t="s">
        <v>18</v>
      </c>
      <c r="D852" s="4" t="s">
        <v>16</v>
      </c>
      <c r="E852" s="4" t="s">
        <v>58</v>
      </c>
      <c r="F852" s="4" t="s">
        <v>21</v>
      </c>
      <c r="G852" s="4" t="s">
        <v>12</v>
      </c>
      <c r="H852" s="5">
        <v>14188.0</v>
      </c>
      <c r="I852" s="4" t="s">
        <v>23</v>
      </c>
    </row>
    <row r="853">
      <c r="A853" s="4" t="s">
        <v>1189</v>
      </c>
      <c r="B853" s="4" t="s">
        <v>434</v>
      </c>
      <c r="C853" s="4" t="s">
        <v>57</v>
      </c>
      <c r="D853" s="4" t="s">
        <v>19</v>
      </c>
      <c r="E853" s="4" t="s">
        <v>20</v>
      </c>
      <c r="F853" s="4" t="s">
        <v>41</v>
      </c>
      <c r="G853" s="4" t="s">
        <v>11</v>
      </c>
      <c r="H853" s="5">
        <v>13888.0</v>
      </c>
      <c r="I853" s="4" t="s">
        <v>47</v>
      </c>
    </row>
    <row r="854">
      <c r="A854" s="4" t="s">
        <v>1190</v>
      </c>
      <c r="B854" s="4" t="s">
        <v>684</v>
      </c>
      <c r="C854" s="4" t="s">
        <v>76</v>
      </c>
      <c r="D854" s="4" t="s">
        <v>24</v>
      </c>
      <c r="E854" s="4" t="s">
        <v>46</v>
      </c>
      <c r="F854" s="4" t="s">
        <v>21</v>
      </c>
      <c r="G854" s="4" t="s">
        <v>13</v>
      </c>
      <c r="H854" s="5">
        <v>8522.0</v>
      </c>
      <c r="I854" s="4"/>
    </row>
    <row r="855">
      <c r="A855" s="4" t="s">
        <v>1191</v>
      </c>
      <c r="B855" s="4" t="s">
        <v>382</v>
      </c>
      <c r="C855" s="4" t="s">
        <v>45</v>
      </c>
      <c r="D855" s="4" t="s">
        <v>22</v>
      </c>
      <c r="E855" s="4" t="s">
        <v>46</v>
      </c>
      <c r="F855" s="4" t="s">
        <v>41</v>
      </c>
      <c r="G855" s="4" t="s">
        <v>11</v>
      </c>
      <c r="H855" s="5">
        <v>18215.0</v>
      </c>
      <c r="I855" s="4" t="s">
        <v>37</v>
      </c>
    </row>
    <row r="856">
      <c r="A856" s="4" t="s">
        <v>1192</v>
      </c>
      <c r="B856" s="4" t="s">
        <v>288</v>
      </c>
      <c r="C856" s="4" t="s">
        <v>76</v>
      </c>
      <c r="D856" s="4" t="s">
        <v>24</v>
      </c>
      <c r="E856" s="4" t="s">
        <v>20</v>
      </c>
      <c r="F856" s="4" t="s">
        <v>41</v>
      </c>
      <c r="G856" s="4" t="s">
        <v>11</v>
      </c>
      <c r="H856" s="5">
        <v>10706.0</v>
      </c>
      <c r="I856" s="4" t="s">
        <v>42</v>
      </c>
    </row>
    <row r="857">
      <c r="A857" s="4" t="s">
        <v>1193</v>
      </c>
      <c r="B857" s="4" t="s">
        <v>491</v>
      </c>
      <c r="C857" s="4" t="s">
        <v>76</v>
      </c>
      <c r="D857" s="4" t="s">
        <v>24</v>
      </c>
      <c r="E857" s="4" t="s">
        <v>20</v>
      </c>
      <c r="F857" s="4" t="s">
        <v>52</v>
      </c>
      <c r="G857" s="4" t="s">
        <v>11</v>
      </c>
      <c r="H857" s="5">
        <v>10176.0</v>
      </c>
      <c r="I857" s="4" t="s">
        <v>47</v>
      </c>
    </row>
    <row r="858">
      <c r="A858" s="4" t="s">
        <v>1194</v>
      </c>
      <c r="B858" s="4" t="s">
        <v>180</v>
      </c>
      <c r="C858" s="4" t="s">
        <v>18</v>
      </c>
      <c r="D858" s="4" t="s">
        <v>16</v>
      </c>
      <c r="E858" s="4" t="s">
        <v>20</v>
      </c>
      <c r="F858" s="4" t="s">
        <v>52</v>
      </c>
      <c r="G858" s="4" t="s">
        <v>13</v>
      </c>
      <c r="H858" s="5">
        <v>12840.0</v>
      </c>
      <c r="I858" s="4" t="s">
        <v>37</v>
      </c>
    </row>
    <row r="859">
      <c r="A859" s="4" t="s">
        <v>1195</v>
      </c>
      <c r="B859" s="4" t="s">
        <v>134</v>
      </c>
      <c r="C859" s="4" t="s">
        <v>18</v>
      </c>
      <c r="D859" s="4" t="s">
        <v>16</v>
      </c>
      <c r="E859" s="4" t="s">
        <v>46</v>
      </c>
      <c r="F859" s="4" t="s">
        <v>21</v>
      </c>
      <c r="G859" s="4" t="s">
        <v>13</v>
      </c>
      <c r="H859" s="5">
        <v>14814.0</v>
      </c>
      <c r="I859" s="4" t="s">
        <v>42</v>
      </c>
    </row>
    <row r="860">
      <c r="A860" s="4" t="s">
        <v>1196</v>
      </c>
      <c r="B860" s="4" t="s">
        <v>532</v>
      </c>
      <c r="C860" s="4" t="s">
        <v>76</v>
      </c>
      <c r="D860" s="4" t="s">
        <v>24</v>
      </c>
      <c r="E860" s="4" t="s">
        <v>46</v>
      </c>
      <c r="F860" s="4" t="s">
        <v>41</v>
      </c>
      <c r="G860" s="4" t="s">
        <v>12</v>
      </c>
      <c r="H860" s="5">
        <v>10138.0</v>
      </c>
      <c r="I860" s="4" t="s">
        <v>47</v>
      </c>
    </row>
    <row r="861">
      <c r="A861" s="4" t="s">
        <v>1197</v>
      </c>
      <c r="B861" s="4" t="s">
        <v>679</v>
      </c>
      <c r="C861" s="4" t="s">
        <v>45</v>
      </c>
      <c r="D861" s="4" t="s">
        <v>22</v>
      </c>
      <c r="E861" s="4" t="s">
        <v>20</v>
      </c>
      <c r="F861" s="4" t="s">
        <v>41</v>
      </c>
      <c r="G861" s="4" t="s">
        <v>11</v>
      </c>
      <c r="H861" s="5">
        <v>15821.0</v>
      </c>
      <c r="I861" s="4" t="s">
        <v>23</v>
      </c>
    </row>
    <row r="862">
      <c r="A862" s="4" t="s">
        <v>1198</v>
      </c>
      <c r="B862" s="4" t="s">
        <v>403</v>
      </c>
      <c r="C862" s="4" t="s">
        <v>45</v>
      </c>
      <c r="D862" s="4" t="s">
        <v>22</v>
      </c>
      <c r="E862" s="4" t="s">
        <v>58</v>
      </c>
      <c r="F862" s="4" t="s">
        <v>52</v>
      </c>
      <c r="G862" s="4" t="s">
        <v>13</v>
      </c>
      <c r="H862" s="5">
        <v>16116.0</v>
      </c>
      <c r="I862" s="4" t="s">
        <v>23</v>
      </c>
    </row>
    <row r="863">
      <c r="A863" s="4" t="s">
        <v>1199</v>
      </c>
      <c r="B863" s="4" t="s">
        <v>280</v>
      </c>
      <c r="C863" s="4" t="s">
        <v>18</v>
      </c>
      <c r="D863" s="4" t="s">
        <v>16</v>
      </c>
      <c r="E863" s="4" t="s">
        <v>20</v>
      </c>
      <c r="F863" s="4" t="s">
        <v>52</v>
      </c>
      <c r="G863" s="4" t="s">
        <v>12</v>
      </c>
      <c r="H863" s="5">
        <v>12419.0</v>
      </c>
      <c r="I863" s="4" t="s">
        <v>23</v>
      </c>
    </row>
    <row r="864">
      <c r="A864" s="4" t="s">
        <v>1200</v>
      </c>
      <c r="B864" s="4" t="s">
        <v>396</v>
      </c>
      <c r="C864" s="4" t="s">
        <v>45</v>
      </c>
      <c r="D864" s="4" t="s">
        <v>22</v>
      </c>
      <c r="E864" s="4" t="s">
        <v>58</v>
      </c>
      <c r="F864" s="4" t="s">
        <v>41</v>
      </c>
      <c r="G864" s="4" t="s">
        <v>12</v>
      </c>
      <c r="H864" s="5">
        <v>18293.0</v>
      </c>
      <c r="I864" s="4" t="s">
        <v>47</v>
      </c>
    </row>
    <row r="865">
      <c r="A865" s="4" t="s">
        <v>1201</v>
      </c>
      <c r="B865" s="4" t="s">
        <v>294</v>
      </c>
      <c r="C865" s="4" t="s">
        <v>18</v>
      </c>
      <c r="D865" s="4" t="s">
        <v>16</v>
      </c>
      <c r="E865" s="4" t="s">
        <v>58</v>
      </c>
      <c r="F865" s="4" t="s">
        <v>52</v>
      </c>
      <c r="G865" s="4" t="s">
        <v>11</v>
      </c>
      <c r="H865" s="5">
        <v>14214.0</v>
      </c>
      <c r="I865" s="4"/>
    </row>
    <row r="866">
      <c r="A866" s="4" t="s">
        <v>1202</v>
      </c>
      <c r="B866" s="4" t="s">
        <v>657</v>
      </c>
      <c r="C866" s="4" t="s">
        <v>76</v>
      </c>
      <c r="D866" s="4" t="s">
        <v>24</v>
      </c>
      <c r="E866" s="4" t="s">
        <v>20</v>
      </c>
      <c r="F866" s="4" t="s">
        <v>41</v>
      </c>
      <c r="G866" s="4" t="s">
        <v>13</v>
      </c>
      <c r="H866" s="5">
        <v>8571.0</v>
      </c>
      <c r="I866" s="4" t="s">
        <v>37</v>
      </c>
    </row>
    <row r="867">
      <c r="A867" s="4" t="s">
        <v>1203</v>
      </c>
      <c r="B867" s="4" t="s">
        <v>225</v>
      </c>
      <c r="C867" s="4" t="s">
        <v>57</v>
      </c>
      <c r="D867" s="4" t="s">
        <v>19</v>
      </c>
      <c r="E867" s="4" t="s">
        <v>20</v>
      </c>
      <c r="F867" s="4" t="s">
        <v>52</v>
      </c>
      <c r="G867" s="4" t="s">
        <v>12</v>
      </c>
      <c r="H867" s="5">
        <v>13578.0</v>
      </c>
      <c r="I867" s="4"/>
    </row>
    <row r="868">
      <c r="A868" s="4" t="s">
        <v>1204</v>
      </c>
      <c r="B868" s="4" t="s">
        <v>1205</v>
      </c>
      <c r="C868" s="4" t="s">
        <v>45</v>
      </c>
      <c r="D868" s="4" t="s">
        <v>22</v>
      </c>
      <c r="E868" s="4" t="s">
        <v>46</v>
      </c>
      <c r="F868" s="4" t="s">
        <v>52</v>
      </c>
      <c r="G868" s="4" t="s">
        <v>12</v>
      </c>
      <c r="H868" s="5">
        <v>18314.0</v>
      </c>
      <c r="I868" s="4" t="s">
        <v>42</v>
      </c>
    </row>
    <row r="869">
      <c r="A869" s="4" t="s">
        <v>1206</v>
      </c>
      <c r="B869" s="4" t="s">
        <v>189</v>
      </c>
      <c r="C869" s="4" t="s">
        <v>76</v>
      </c>
      <c r="D869" s="4" t="s">
        <v>24</v>
      </c>
      <c r="E869" s="4" t="s">
        <v>20</v>
      </c>
      <c r="F869" s="4" t="s">
        <v>41</v>
      </c>
      <c r="G869" s="4" t="s">
        <v>13</v>
      </c>
      <c r="H869" s="5">
        <v>10329.0</v>
      </c>
      <c r="I869" s="4"/>
    </row>
    <row r="870">
      <c r="A870" s="4" t="s">
        <v>1207</v>
      </c>
      <c r="B870" s="4" t="s">
        <v>160</v>
      </c>
      <c r="C870" s="4" t="s">
        <v>76</v>
      </c>
      <c r="D870" s="4" t="s">
        <v>24</v>
      </c>
      <c r="E870" s="4" t="s">
        <v>58</v>
      </c>
      <c r="F870" s="4" t="s">
        <v>41</v>
      </c>
      <c r="G870" s="4" t="s">
        <v>13</v>
      </c>
      <c r="H870" s="5">
        <v>7588.0</v>
      </c>
      <c r="I870" s="4" t="s">
        <v>42</v>
      </c>
    </row>
    <row r="871">
      <c r="A871" s="4" t="s">
        <v>1208</v>
      </c>
      <c r="B871" s="4" t="s">
        <v>927</v>
      </c>
      <c r="C871" s="4" t="s">
        <v>76</v>
      </c>
      <c r="D871" s="4" t="s">
        <v>24</v>
      </c>
      <c r="E871" s="4" t="s">
        <v>46</v>
      </c>
      <c r="F871" s="4" t="s">
        <v>52</v>
      </c>
      <c r="G871" s="4" t="s">
        <v>12</v>
      </c>
      <c r="H871" s="5">
        <v>8353.0</v>
      </c>
      <c r="I871" s="4" t="s">
        <v>47</v>
      </c>
    </row>
    <row r="872">
      <c r="A872" s="4" t="s">
        <v>1209</v>
      </c>
      <c r="B872" s="4" t="s">
        <v>811</v>
      </c>
      <c r="C872" s="4" t="s">
        <v>18</v>
      </c>
      <c r="D872" s="4" t="s">
        <v>16</v>
      </c>
      <c r="E872" s="4" t="s">
        <v>58</v>
      </c>
      <c r="F872" s="4" t="s">
        <v>41</v>
      </c>
      <c r="G872" s="4" t="s">
        <v>11</v>
      </c>
      <c r="H872" s="5">
        <v>13960.0</v>
      </c>
      <c r="I872" s="4"/>
    </row>
    <row r="873">
      <c r="A873" s="4" t="s">
        <v>1210</v>
      </c>
      <c r="B873" s="4" t="s">
        <v>331</v>
      </c>
      <c r="C873" s="4" t="s">
        <v>45</v>
      </c>
      <c r="D873" s="4" t="s">
        <v>22</v>
      </c>
      <c r="E873" s="4" t="s">
        <v>20</v>
      </c>
      <c r="F873" s="4" t="s">
        <v>52</v>
      </c>
      <c r="G873" s="4" t="s">
        <v>13</v>
      </c>
      <c r="H873" s="5">
        <v>17080.0</v>
      </c>
      <c r="I873" s="4" t="s">
        <v>37</v>
      </c>
    </row>
    <row r="874">
      <c r="A874" s="4" t="s">
        <v>1211</v>
      </c>
      <c r="B874" s="4" t="s">
        <v>1212</v>
      </c>
      <c r="C874" s="4" t="s">
        <v>18</v>
      </c>
      <c r="D874" s="4" t="s">
        <v>16</v>
      </c>
      <c r="E874" s="4" t="s">
        <v>58</v>
      </c>
      <c r="F874" s="4" t="s">
        <v>52</v>
      </c>
      <c r="G874" s="4" t="s">
        <v>12</v>
      </c>
      <c r="H874" s="5">
        <v>12290.0</v>
      </c>
      <c r="I874" s="4" t="s">
        <v>47</v>
      </c>
    </row>
    <row r="875">
      <c r="A875" s="4" t="s">
        <v>1213</v>
      </c>
      <c r="B875" s="4" t="s">
        <v>64</v>
      </c>
      <c r="C875" s="4" t="s">
        <v>76</v>
      </c>
      <c r="D875" s="4" t="s">
        <v>24</v>
      </c>
      <c r="E875" s="4" t="s">
        <v>46</v>
      </c>
      <c r="F875" s="4" t="s">
        <v>52</v>
      </c>
      <c r="G875" s="4" t="s">
        <v>13</v>
      </c>
      <c r="H875" s="5">
        <v>9244.0</v>
      </c>
      <c r="I875" s="4" t="s">
        <v>23</v>
      </c>
    </row>
    <row r="876">
      <c r="A876" s="4" t="s">
        <v>1214</v>
      </c>
      <c r="B876" s="4" t="s">
        <v>54</v>
      </c>
      <c r="C876" s="4" t="s">
        <v>45</v>
      </c>
      <c r="D876" s="4" t="s">
        <v>22</v>
      </c>
      <c r="E876" s="4" t="s">
        <v>46</v>
      </c>
      <c r="F876" s="4" t="s">
        <v>52</v>
      </c>
      <c r="G876" s="4" t="s">
        <v>12</v>
      </c>
      <c r="H876" s="5">
        <v>16765.0</v>
      </c>
      <c r="I876" s="4"/>
    </row>
    <row r="877">
      <c r="A877" s="4" t="s">
        <v>1215</v>
      </c>
      <c r="B877" s="4" t="s">
        <v>702</v>
      </c>
      <c r="C877" s="4" t="s">
        <v>57</v>
      </c>
      <c r="D877" s="4" t="s">
        <v>19</v>
      </c>
      <c r="E877" s="4" t="s">
        <v>46</v>
      </c>
      <c r="F877" s="4" t="s">
        <v>52</v>
      </c>
      <c r="G877" s="4" t="s">
        <v>12</v>
      </c>
      <c r="H877" s="5">
        <v>11319.0</v>
      </c>
      <c r="I877" s="4" t="s">
        <v>42</v>
      </c>
    </row>
    <row r="878">
      <c r="A878" s="4" t="s">
        <v>1216</v>
      </c>
      <c r="B878" s="4" t="s">
        <v>286</v>
      </c>
      <c r="C878" s="4" t="s">
        <v>76</v>
      </c>
      <c r="D878" s="4" t="s">
        <v>24</v>
      </c>
      <c r="E878" s="4" t="s">
        <v>58</v>
      </c>
      <c r="F878" s="4" t="s">
        <v>52</v>
      </c>
      <c r="G878" s="4" t="s">
        <v>13</v>
      </c>
      <c r="H878" s="5">
        <v>10367.0</v>
      </c>
      <c r="I878" s="4"/>
    </row>
    <row r="879">
      <c r="A879" s="4" t="s">
        <v>1217</v>
      </c>
      <c r="B879" s="4" t="s">
        <v>89</v>
      </c>
      <c r="C879" s="4" t="s">
        <v>18</v>
      </c>
      <c r="D879" s="4" t="s">
        <v>16</v>
      </c>
      <c r="E879" s="4" t="s">
        <v>20</v>
      </c>
      <c r="F879" s="4" t="s">
        <v>41</v>
      </c>
      <c r="G879" s="4" t="s">
        <v>12</v>
      </c>
      <c r="H879" s="5">
        <v>15334.0</v>
      </c>
      <c r="I879" s="4" t="s">
        <v>42</v>
      </c>
    </row>
    <row r="880">
      <c r="A880" s="4" t="s">
        <v>1218</v>
      </c>
      <c r="B880" s="4" t="s">
        <v>587</v>
      </c>
      <c r="C880" s="4" t="s">
        <v>45</v>
      </c>
      <c r="D880" s="4" t="s">
        <v>22</v>
      </c>
      <c r="E880" s="4" t="s">
        <v>58</v>
      </c>
      <c r="F880" s="4" t="s">
        <v>52</v>
      </c>
      <c r="G880" s="4" t="s">
        <v>12</v>
      </c>
      <c r="H880" s="5">
        <v>15251.0</v>
      </c>
      <c r="I880" s="4" t="s">
        <v>37</v>
      </c>
    </row>
    <row r="881">
      <c r="A881" s="4" t="s">
        <v>1219</v>
      </c>
      <c r="B881" s="4" t="s">
        <v>512</v>
      </c>
      <c r="C881" s="4" t="s">
        <v>18</v>
      </c>
      <c r="D881" s="4" t="s">
        <v>16</v>
      </c>
      <c r="E881" s="4" t="s">
        <v>46</v>
      </c>
      <c r="F881" s="4" t="s">
        <v>52</v>
      </c>
      <c r="G881" s="4" t="s">
        <v>13</v>
      </c>
      <c r="H881" s="5">
        <v>13855.0</v>
      </c>
      <c r="I881" s="4" t="s">
        <v>42</v>
      </c>
    </row>
    <row r="882">
      <c r="A882" s="4" t="s">
        <v>1220</v>
      </c>
      <c r="B882" s="4" t="s">
        <v>717</v>
      </c>
      <c r="C882" s="4" t="s">
        <v>76</v>
      </c>
      <c r="D882" s="4" t="s">
        <v>24</v>
      </c>
      <c r="E882" s="4" t="s">
        <v>46</v>
      </c>
      <c r="F882" s="4" t="s">
        <v>41</v>
      </c>
      <c r="G882" s="4" t="s">
        <v>12</v>
      </c>
      <c r="H882" s="5">
        <v>10593.0</v>
      </c>
      <c r="I882" s="4" t="s">
        <v>47</v>
      </c>
    </row>
    <row r="883">
      <c r="A883" s="4" t="s">
        <v>1221</v>
      </c>
      <c r="B883" s="4" t="s">
        <v>679</v>
      </c>
      <c r="C883" s="4" t="s">
        <v>45</v>
      </c>
      <c r="D883" s="4" t="s">
        <v>22</v>
      </c>
      <c r="E883" s="4" t="s">
        <v>58</v>
      </c>
      <c r="F883" s="4" t="s">
        <v>52</v>
      </c>
      <c r="G883" s="4" t="s">
        <v>11</v>
      </c>
      <c r="H883" s="5">
        <v>15365.0</v>
      </c>
      <c r="I883" s="4" t="s">
        <v>42</v>
      </c>
    </row>
    <row r="884">
      <c r="A884" s="4" t="s">
        <v>1222</v>
      </c>
      <c r="B884" s="4" t="s">
        <v>113</v>
      </c>
      <c r="C884" s="4" t="s">
        <v>76</v>
      </c>
      <c r="D884" s="4" t="s">
        <v>24</v>
      </c>
      <c r="E884" s="4" t="s">
        <v>46</v>
      </c>
      <c r="F884" s="4" t="s">
        <v>21</v>
      </c>
      <c r="G884" s="4" t="s">
        <v>13</v>
      </c>
      <c r="H884" s="5">
        <v>8512.0</v>
      </c>
      <c r="I884" s="4" t="s">
        <v>42</v>
      </c>
    </row>
    <row r="885">
      <c r="A885" s="4" t="s">
        <v>1223</v>
      </c>
      <c r="B885" s="4" t="s">
        <v>242</v>
      </c>
      <c r="C885" s="4" t="s">
        <v>45</v>
      </c>
      <c r="D885" s="4" t="s">
        <v>22</v>
      </c>
      <c r="E885" s="4" t="s">
        <v>46</v>
      </c>
      <c r="F885" s="4" t="s">
        <v>21</v>
      </c>
      <c r="G885" s="4" t="s">
        <v>13</v>
      </c>
      <c r="H885" s="5">
        <v>15963.0</v>
      </c>
      <c r="I885" s="4"/>
    </row>
    <row r="886">
      <c r="A886" s="4" t="s">
        <v>1224</v>
      </c>
      <c r="B886" s="4" t="s">
        <v>434</v>
      </c>
      <c r="C886" s="4" t="s">
        <v>45</v>
      </c>
      <c r="D886" s="4" t="s">
        <v>22</v>
      </c>
      <c r="E886" s="4" t="s">
        <v>20</v>
      </c>
      <c r="F886" s="4" t="s">
        <v>21</v>
      </c>
      <c r="G886" s="4" t="s">
        <v>11</v>
      </c>
      <c r="H886" s="5">
        <v>16562.0</v>
      </c>
      <c r="I886" s="4"/>
    </row>
    <row r="887">
      <c r="A887" s="4" t="s">
        <v>1225</v>
      </c>
      <c r="B887" s="4" t="s">
        <v>917</v>
      </c>
      <c r="C887" s="4" t="s">
        <v>57</v>
      </c>
      <c r="D887" s="4" t="s">
        <v>19</v>
      </c>
      <c r="E887" s="4" t="s">
        <v>58</v>
      </c>
      <c r="F887" s="4" t="s">
        <v>41</v>
      </c>
      <c r="G887" s="4" t="s">
        <v>13</v>
      </c>
      <c r="H887" s="5">
        <v>13275.0</v>
      </c>
      <c r="I887" s="4"/>
    </row>
    <row r="888">
      <c r="A888" s="4" t="s">
        <v>1226</v>
      </c>
      <c r="B888" s="4" t="s">
        <v>927</v>
      </c>
      <c r="C888" s="4" t="s">
        <v>76</v>
      </c>
      <c r="D888" s="4" t="s">
        <v>24</v>
      </c>
      <c r="E888" s="4" t="s">
        <v>46</v>
      </c>
      <c r="F888" s="4" t="s">
        <v>21</v>
      </c>
      <c r="G888" s="4" t="s">
        <v>12</v>
      </c>
      <c r="H888" s="5">
        <v>7514.0</v>
      </c>
      <c r="I888" s="4" t="s">
        <v>23</v>
      </c>
    </row>
    <row r="889">
      <c r="A889" s="4" t="s">
        <v>1227</v>
      </c>
      <c r="B889" s="4" t="s">
        <v>36</v>
      </c>
      <c r="C889" s="4" t="s">
        <v>18</v>
      </c>
      <c r="D889" s="4" t="s">
        <v>16</v>
      </c>
      <c r="E889" s="4" t="s">
        <v>46</v>
      </c>
      <c r="F889" s="4" t="s">
        <v>52</v>
      </c>
      <c r="G889" s="4" t="s">
        <v>11</v>
      </c>
      <c r="H889" s="5">
        <v>14694.0</v>
      </c>
      <c r="I889" s="4"/>
    </row>
    <row r="890">
      <c r="A890" s="4" t="s">
        <v>1228</v>
      </c>
      <c r="B890" s="4" t="s">
        <v>943</v>
      </c>
      <c r="C890" s="4" t="s">
        <v>76</v>
      </c>
      <c r="D890" s="4" t="s">
        <v>24</v>
      </c>
      <c r="E890" s="4" t="s">
        <v>58</v>
      </c>
      <c r="F890" s="4" t="s">
        <v>52</v>
      </c>
      <c r="G890" s="4" t="s">
        <v>12</v>
      </c>
      <c r="H890" s="5">
        <v>10810.0</v>
      </c>
      <c r="I890" s="4"/>
    </row>
    <row r="891">
      <c r="A891" s="4" t="s">
        <v>1229</v>
      </c>
      <c r="B891" s="4" t="s">
        <v>529</v>
      </c>
      <c r="C891" s="4" t="s">
        <v>76</v>
      </c>
      <c r="D891" s="4" t="s">
        <v>24</v>
      </c>
      <c r="E891" s="4" t="s">
        <v>20</v>
      </c>
      <c r="F891" s="4" t="s">
        <v>21</v>
      </c>
      <c r="G891" s="4" t="s">
        <v>11</v>
      </c>
      <c r="H891" s="5">
        <v>8455.0</v>
      </c>
      <c r="I891" s="4" t="s">
        <v>23</v>
      </c>
    </row>
    <row r="892">
      <c r="A892" s="4" t="s">
        <v>1230</v>
      </c>
      <c r="B892" s="4" t="s">
        <v>717</v>
      </c>
      <c r="C892" s="4" t="s">
        <v>18</v>
      </c>
      <c r="D892" s="4" t="s">
        <v>16</v>
      </c>
      <c r="E892" s="4" t="s">
        <v>20</v>
      </c>
      <c r="F892" s="4" t="s">
        <v>21</v>
      </c>
      <c r="G892" s="4" t="s">
        <v>12</v>
      </c>
      <c r="H892" s="5">
        <v>12969.0</v>
      </c>
      <c r="I892" s="4" t="s">
        <v>42</v>
      </c>
    </row>
    <row r="893">
      <c r="A893" s="4" t="s">
        <v>1231</v>
      </c>
      <c r="B893" s="4" t="s">
        <v>612</v>
      </c>
      <c r="C893" s="4" t="s">
        <v>45</v>
      </c>
      <c r="D893" s="4" t="s">
        <v>22</v>
      </c>
      <c r="E893" s="4" t="s">
        <v>46</v>
      </c>
      <c r="F893" s="4" t="s">
        <v>41</v>
      </c>
      <c r="G893" s="4" t="s">
        <v>12</v>
      </c>
      <c r="H893" s="5">
        <v>16979.0</v>
      </c>
      <c r="I893" s="4" t="s">
        <v>47</v>
      </c>
    </row>
    <row r="894">
      <c r="A894" s="4" t="s">
        <v>1232</v>
      </c>
      <c r="B894" s="4" t="s">
        <v>455</v>
      </c>
      <c r="C894" s="4" t="s">
        <v>18</v>
      </c>
      <c r="D894" s="4" t="s">
        <v>16</v>
      </c>
      <c r="E894" s="4" t="s">
        <v>46</v>
      </c>
      <c r="F894" s="4" t="s">
        <v>52</v>
      </c>
      <c r="G894" s="4" t="s">
        <v>12</v>
      </c>
      <c r="H894" s="5">
        <v>14156.0</v>
      </c>
      <c r="I894" s="4" t="s">
        <v>47</v>
      </c>
    </row>
    <row r="895">
      <c r="A895" s="4" t="s">
        <v>1233</v>
      </c>
      <c r="B895" s="4" t="s">
        <v>1005</v>
      </c>
      <c r="C895" s="4" t="s">
        <v>18</v>
      </c>
      <c r="D895" s="4" t="s">
        <v>16</v>
      </c>
      <c r="E895" s="4" t="s">
        <v>46</v>
      </c>
      <c r="F895" s="4" t="s">
        <v>21</v>
      </c>
      <c r="G895" s="4" t="s">
        <v>12</v>
      </c>
      <c r="H895" s="5">
        <v>15037.0</v>
      </c>
      <c r="I895" s="4" t="s">
        <v>37</v>
      </c>
    </row>
    <row r="896">
      <c r="A896" s="4" t="s">
        <v>1234</v>
      </c>
      <c r="B896" s="4" t="s">
        <v>516</v>
      </c>
      <c r="C896" s="4" t="s">
        <v>45</v>
      </c>
      <c r="D896" s="4" t="s">
        <v>22</v>
      </c>
      <c r="E896" s="4" t="s">
        <v>20</v>
      </c>
      <c r="F896" s="4" t="s">
        <v>41</v>
      </c>
      <c r="G896" s="4" t="s">
        <v>11</v>
      </c>
      <c r="H896" s="5">
        <v>17191.0</v>
      </c>
      <c r="I896" s="4" t="s">
        <v>37</v>
      </c>
    </row>
    <row r="897">
      <c r="A897" s="4" t="s">
        <v>1235</v>
      </c>
      <c r="B897" s="4" t="s">
        <v>427</v>
      </c>
      <c r="C897" s="4" t="s">
        <v>76</v>
      </c>
      <c r="D897" s="4" t="s">
        <v>24</v>
      </c>
      <c r="E897" s="4" t="s">
        <v>20</v>
      </c>
      <c r="F897" s="4" t="s">
        <v>52</v>
      </c>
      <c r="G897" s="4" t="s">
        <v>11</v>
      </c>
      <c r="H897" s="5">
        <v>8724.0</v>
      </c>
      <c r="I897" s="4" t="s">
        <v>47</v>
      </c>
    </row>
    <row r="898">
      <c r="A898" s="4" t="s">
        <v>1236</v>
      </c>
      <c r="B898" s="4" t="s">
        <v>461</v>
      </c>
      <c r="C898" s="4" t="s">
        <v>57</v>
      </c>
      <c r="D898" s="4" t="s">
        <v>19</v>
      </c>
      <c r="E898" s="4" t="s">
        <v>46</v>
      </c>
      <c r="F898" s="4" t="s">
        <v>52</v>
      </c>
      <c r="G898" s="4" t="s">
        <v>12</v>
      </c>
      <c r="H898" s="5">
        <v>14069.0</v>
      </c>
      <c r="I898" s="4" t="s">
        <v>47</v>
      </c>
    </row>
    <row r="899">
      <c r="A899" s="4" t="s">
        <v>1237</v>
      </c>
      <c r="B899" s="4" t="s">
        <v>622</v>
      </c>
      <c r="C899" s="4" t="s">
        <v>45</v>
      </c>
      <c r="D899" s="4" t="s">
        <v>22</v>
      </c>
      <c r="E899" s="4" t="s">
        <v>46</v>
      </c>
      <c r="F899" s="4" t="s">
        <v>52</v>
      </c>
      <c r="G899" s="4" t="s">
        <v>11</v>
      </c>
      <c r="H899" s="5">
        <v>17368.0</v>
      </c>
      <c r="I899" s="4" t="s">
        <v>23</v>
      </c>
    </row>
    <row r="900">
      <c r="A900" s="4" t="s">
        <v>1238</v>
      </c>
      <c r="B900" s="4" t="s">
        <v>85</v>
      </c>
      <c r="C900" s="4" t="s">
        <v>45</v>
      </c>
      <c r="D900" s="4" t="s">
        <v>22</v>
      </c>
      <c r="E900" s="4" t="s">
        <v>20</v>
      </c>
      <c r="F900" s="4" t="s">
        <v>52</v>
      </c>
      <c r="G900" s="4" t="s">
        <v>13</v>
      </c>
      <c r="H900" s="5">
        <v>16174.0</v>
      </c>
      <c r="I900" s="4"/>
    </row>
    <row r="901">
      <c r="A901" s="4" t="s">
        <v>1239</v>
      </c>
      <c r="B901" s="4" t="s">
        <v>540</v>
      </c>
      <c r="C901" s="4" t="s">
        <v>18</v>
      </c>
      <c r="D901" s="4" t="s">
        <v>16</v>
      </c>
      <c r="E901" s="4" t="s">
        <v>58</v>
      </c>
      <c r="F901" s="4" t="s">
        <v>21</v>
      </c>
      <c r="G901" s="4" t="s">
        <v>13</v>
      </c>
      <c r="H901" s="5">
        <v>14522.0</v>
      </c>
      <c r="I901" s="4" t="s">
        <v>47</v>
      </c>
    </row>
    <row r="902">
      <c r="A902" s="4" t="s">
        <v>1240</v>
      </c>
      <c r="B902" s="4" t="s">
        <v>743</v>
      </c>
      <c r="C902" s="4" t="s">
        <v>18</v>
      </c>
      <c r="D902" s="4" t="s">
        <v>16</v>
      </c>
      <c r="E902" s="4" t="s">
        <v>20</v>
      </c>
      <c r="F902" s="4" t="s">
        <v>41</v>
      </c>
      <c r="G902" s="4" t="s">
        <v>12</v>
      </c>
      <c r="H902" s="5">
        <v>12715.0</v>
      </c>
      <c r="I902" s="4" t="s">
        <v>42</v>
      </c>
    </row>
    <row r="903">
      <c r="A903" s="4" t="s">
        <v>1241</v>
      </c>
      <c r="B903" s="4" t="s">
        <v>148</v>
      </c>
      <c r="C903" s="4" t="s">
        <v>76</v>
      </c>
      <c r="D903" s="4" t="s">
        <v>24</v>
      </c>
      <c r="E903" s="4" t="s">
        <v>58</v>
      </c>
      <c r="F903" s="4" t="s">
        <v>41</v>
      </c>
      <c r="G903" s="4" t="s">
        <v>11</v>
      </c>
      <c r="H903" s="5">
        <v>10205.0</v>
      </c>
      <c r="I903" s="4" t="s">
        <v>23</v>
      </c>
    </row>
    <row r="904">
      <c r="A904" s="4" t="s">
        <v>1242</v>
      </c>
      <c r="B904" s="4" t="s">
        <v>174</v>
      </c>
      <c r="C904" s="4" t="s">
        <v>18</v>
      </c>
      <c r="D904" s="4" t="s">
        <v>16</v>
      </c>
      <c r="E904" s="4" t="s">
        <v>58</v>
      </c>
      <c r="F904" s="4" t="s">
        <v>41</v>
      </c>
      <c r="G904" s="4" t="s">
        <v>13</v>
      </c>
      <c r="H904" s="5">
        <v>14439.0</v>
      </c>
      <c r="I904" s="4" t="s">
        <v>23</v>
      </c>
    </row>
    <row r="905">
      <c r="A905" s="4" t="s">
        <v>1243</v>
      </c>
      <c r="B905" s="4" t="s">
        <v>200</v>
      </c>
      <c r="C905" s="4" t="s">
        <v>76</v>
      </c>
      <c r="D905" s="4" t="s">
        <v>24</v>
      </c>
      <c r="E905" s="4" t="s">
        <v>58</v>
      </c>
      <c r="F905" s="4" t="s">
        <v>41</v>
      </c>
      <c r="G905" s="4" t="s">
        <v>12</v>
      </c>
      <c r="H905" s="5">
        <v>8802.0</v>
      </c>
      <c r="I905" s="4" t="s">
        <v>23</v>
      </c>
    </row>
    <row r="906">
      <c r="A906" s="4" t="s">
        <v>1244</v>
      </c>
      <c r="B906" s="4" t="s">
        <v>292</v>
      </c>
      <c r="C906" s="4" t="s">
        <v>45</v>
      </c>
      <c r="D906" s="4" t="s">
        <v>22</v>
      </c>
      <c r="E906" s="4" t="s">
        <v>46</v>
      </c>
      <c r="F906" s="4" t="s">
        <v>52</v>
      </c>
      <c r="G906" s="4" t="s">
        <v>11</v>
      </c>
      <c r="H906" s="5">
        <v>18094.0</v>
      </c>
      <c r="I906" s="4" t="s">
        <v>37</v>
      </c>
    </row>
    <row r="907">
      <c r="A907" s="4" t="s">
        <v>1245</v>
      </c>
      <c r="B907" s="4" t="s">
        <v>529</v>
      </c>
      <c r="C907" s="4" t="s">
        <v>76</v>
      </c>
      <c r="D907" s="4" t="s">
        <v>24</v>
      </c>
      <c r="E907" s="4" t="s">
        <v>58</v>
      </c>
      <c r="F907" s="4" t="s">
        <v>21</v>
      </c>
      <c r="G907" s="4" t="s">
        <v>11</v>
      </c>
      <c r="H907" s="5">
        <v>10056.0</v>
      </c>
      <c r="I907" s="4" t="s">
        <v>42</v>
      </c>
    </row>
    <row r="908">
      <c r="A908" s="4" t="s">
        <v>1246</v>
      </c>
      <c r="B908" s="4" t="s">
        <v>366</v>
      </c>
      <c r="C908" s="4" t="s">
        <v>76</v>
      </c>
      <c r="D908" s="4" t="s">
        <v>24</v>
      </c>
      <c r="E908" s="4" t="s">
        <v>58</v>
      </c>
      <c r="F908" s="4" t="s">
        <v>21</v>
      </c>
      <c r="G908" s="4" t="s">
        <v>13</v>
      </c>
      <c r="H908" s="5">
        <v>9172.0</v>
      </c>
      <c r="I908" s="4"/>
    </row>
    <row r="909">
      <c r="A909" s="4" t="s">
        <v>1247</v>
      </c>
      <c r="B909" s="4" t="s">
        <v>543</v>
      </c>
      <c r="C909" s="4" t="s">
        <v>76</v>
      </c>
      <c r="D909" s="4" t="s">
        <v>24</v>
      </c>
      <c r="E909" s="4" t="s">
        <v>58</v>
      </c>
      <c r="F909" s="4" t="s">
        <v>52</v>
      </c>
      <c r="G909" s="4" t="s">
        <v>11</v>
      </c>
      <c r="H909" s="5">
        <v>10939.0</v>
      </c>
      <c r="I909" s="4" t="s">
        <v>42</v>
      </c>
    </row>
    <row r="910">
      <c r="A910" s="4" t="s">
        <v>1248</v>
      </c>
      <c r="B910" s="4" t="s">
        <v>100</v>
      </c>
      <c r="C910" s="4" t="s">
        <v>45</v>
      </c>
      <c r="D910" s="4" t="s">
        <v>22</v>
      </c>
      <c r="E910" s="4" t="s">
        <v>58</v>
      </c>
      <c r="F910" s="4" t="s">
        <v>52</v>
      </c>
      <c r="G910" s="4" t="s">
        <v>12</v>
      </c>
      <c r="H910" s="5">
        <v>18515.0</v>
      </c>
      <c r="I910" s="4" t="s">
        <v>47</v>
      </c>
    </row>
    <row r="911">
      <c r="A911" s="4" t="s">
        <v>1249</v>
      </c>
      <c r="B911" s="4" t="s">
        <v>461</v>
      </c>
      <c r="C911" s="4" t="s">
        <v>18</v>
      </c>
      <c r="D911" s="4" t="s">
        <v>16</v>
      </c>
      <c r="E911" s="4" t="s">
        <v>58</v>
      </c>
      <c r="F911" s="4" t="s">
        <v>52</v>
      </c>
      <c r="G911" s="4" t="s">
        <v>12</v>
      </c>
      <c r="H911" s="5">
        <v>13602.0</v>
      </c>
      <c r="I911" s="4"/>
    </row>
    <row r="912">
      <c r="A912" s="4" t="s">
        <v>1250</v>
      </c>
      <c r="B912" s="4" t="s">
        <v>400</v>
      </c>
      <c r="C912" s="4" t="s">
        <v>57</v>
      </c>
      <c r="D912" s="4" t="s">
        <v>19</v>
      </c>
      <c r="E912" s="4" t="s">
        <v>20</v>
      </c>
      <c r="F912" s="4" t="s">
        <v>52</v>
      </c>
      <c r="G912" s="4" t="s">
        <v>12</v>
      </c>
      <c r="H912" s="5">
        <v>14155.0</v>
      </c>
      <c r="I912" s="4" t="s">
        <v>23</v>
      </c>
    </row>
    <row r="913">
      <c r="A913" s="4" t="s">
        <v>1251</v>
      </c>
      <c r="B913" s="4" t="s">
        <v>192</v>
      </c>
      <c r="C913" s="4" t="s">
        <v>57</v>
      </c>
      <c r="D913" s="4" t="s">
        <v>19</v>
      </c>
      <c r="E913" s="4" t="s">
        <v>58</v>
      </c>
      <c r="F913" s="4" t="s">
        <v>52</v>
      </c>
      <c r="G913" s="4" t="s">
        <v>13</v>
      </c>
      <c r="H913" s="5">
        <v>13755.0</v>
      </c>
      <c r="I913" s="4" t="s">
        <v>37</v>
      </c>
    </row>
    <row r="914">
      <c r="A914" s="4" t="s">
        <v>1252</v>
      </c>
      <c r="B914" s="4" t="s">
        <v>56</v>
      </c>
      <c r="C914" s="4" t="s">
        <v>76</v>
      </c>
      <c r="D914" s="4" t="s">
        <v>24</v>
      </c>
      <c r="E914" s="4" t="s">
        <v>46</v>
      </c>
      <c r="F914" s="4" t="s">
        <v>52</v>
      </c>
      <c r="G914" s="4" t="s">
        <v>13</v>
      </c>
      <c r="H914" s="5">
        <v>9807.0</v>
      </c>
      <c r="I914" s="4"/>
    </row>
    <row r="915">
      <c r="A915" s="4" t="s">
        <v>1253</v>
      </c>
      <c r="B915" s="4" t="s">
        <v>278</v>
      </c>
      <c r="C915" s="4" t="s">
        <v>45</v>
      </c>
      <c r="D915" s="4" t="s">
        <v>22</v>
      </c>
      <c r="E915" s="4" t="s">
        <v>58</v>
      </c>
      <c r="F915" s="4" t="s">
        <v>41</v>
      </c>
      <c r="G915" s="4" t="s">
        <v>13</v>
      </c>
      <c r="H915" s="5">
        <v>15097.0</v>
      </c>
      <c r="I915" s="4" t="s">
        <v>42</v>
      </c>
    </row>
    <row r="916">
      <c r="A916" s="4" t="s">
        <v>1254</v>
      </c>
      <c r="B916" s="4" t="s">
        <v>143</v>
      </c>
      <c r="C916" s="4" t="s">
        <v>57</v>
      </c>
      <c r="D916" s="4" t="s">
        <v>19</v>
      </c>
      <c r="E916" s="4" t="s">
        <v>20</v>
      </c>
      <c r="F916" s="4" t="s">
        <v>52</v>
      </c>
      <c r="G916" s="4" t="s">
        <v>13</v>
      </c>
      <c r="H916" s="5">
        <v>13900.0</v>
      </c>
      <c r="I916" s="4" t="s">
        <v>37</v>
      </c>
    </row>
    <row r="917">
      <c r="A917" s="4" t="s">
        <v>1255</v>
      </c>
      <c r="B917" s="4" t="s">
        <v>560</v>
      </c>
      <c r="C917" s="4" t="s">
        <v>57</v>
      </c>
      <c r="D917" s="4" t="s">
        <v>19</v>
      </c>
      <c r="E917" s="4" t="s">
        <v>58</v>
      </c>
      <c r="F917" s="4" t="s">
        <v>52</v>
      </c>
      <c r="G917" s="4" t="s">
        <v>12</v>
      </c>
      <c r="H917" s="5">
        <v>13318.0</v>
      </c>
      <c r="I917" s="4" t="s">
        <v>23</v>
      </c>
    </row>
    <row r="918">
      <c r="A918" s="4" t="s">
        <v>1256</v>
      </c>
      <c r="B918" s="4" t="s">
        <v>220</v>
      </c>
      <c r="C918" s="4" t="s">
        <v>57</v>
      </c>
      <c r="D918" s="4" t="s">
        <v>19</v>
      </c>
      <c r="E918" s="4" t="s">
        <v>58</v>
      </c>
      <c r="F918" s="4" t="s">
        <v>21</v>
      </c>
      <c r="G918" s="4" t="s">
        <v>11</v>
      </c>
      <c r="H918" s="5">
        <v>13705.0</v>
      </c>
      <c r="I918" s="4" t="s">
        <v>37</v>
      </c>
    </row>
    <row r="919">
      <c r="A919" s="4" t="s">
        <v>1257</v>
      </c>
      <c r="B919" s="4" t="s">
        <v>160</v>
      </c>
      <c r="C919" s="4" t="s">
        <v>76</v>
      </c>
      <c r="D919" s="4" t="s">
        <v>24</v>
      </c>
      <c r="E919" s="4" t="s">
        <v>20</v>
      </c>
      <c r="F919" s="4" t="s">
        <v>52</v>
      </c>
      <c r="G919" s="4" t="s">
        <v>11</v>
      </c>
      <c r="H919" s="5">
        <v>8054.0</v>
      </c>
      <c r="I919" s="4" t="s">
        <v>23</v>
      </c>
    </row>
    <row r="920">
      <c r="A920" s="4" t="s">
        <v>1258</v>
      </c>
      <c r="B920" s="4" t="s">
        <v>351</v>
      </c>
      <c r="C920" s="4" t="s">
        <v>18</v>
      </c>
      <c r="D920" s="4" t="s">
        <v>16</v>
      </c>
      <c r="E920" s="4" t="s">
        <v>58</v>
      </c>
      <c r="F920" s="4" t="s">
        <v>21</v>
      </c>
      <c r="G920" s="4" t="s">
        <v>11</v>
      </c>
      <c r="H920" s="5">
        <v>12246.0</v>
      </c>
      <c r="I920" s="4" t="s">
        <v>47</v>
      </c>
    </row>
    <row r="921">
      <c r="A921" s="4" t="s">
        <v>1259</v>
      </c>
      <c r="B921" s="4" t="s">
        <v>72</v>
      </c>
      <c r="C921" s="4" t="s">
        <v>76</v>
      </c>
      <c r="D921" s="4" t="s">
        <v>24</v>
      </c>
      <c r="E921" s="4" t="s">
        <v>46</v>
      </c>
      <c r="F921" s="4" t="s">
        <v>21</v>
      </c>
      <c r="G921" s="4" t="s">
        <v>13</v>
      </c>
      <c r="H921" s="5">
        <v>9499.0</v>
      </c>
      <c r="I921" s="4"/>
    </row>
    <row r="922">
      <c r="A922" s="4" t="s">
        <v>1260</v>
      </c>
      <c r="B922" s="4" t="s">
        <v>691</v>
      </c>
      <c r="C922" s="4" t="s">
        <v>18</v>
      </c>
      <c r="D922" s="4" t="s">
        <v>16</v>
      </c>
      <c r="E922" s="4" t="s">
        <v>46</v>
      </c>
      <c r="F922" s="4" t="s">
        <v>52</v>
      </c>
      <c r="G922" s="4" t="s">
        <v>11</v>
      </c>
      <c r="H922" s="5">
        <v>12894.0</v>
      </c>
      <c r="I922" s="4" t="s">
        <v>42</v>
      </c>
    </row>
    <row r="923">
      <c r="A923" s="4" t="s">
        <v>1261</v>
      </c>
      <c r="B923" s="4" t="s">
        <v>305</v>
      </c>
      <c r="C923" s="4" t="s">
        <v>45</v>
      </c>
      <c r="D923" s="4" t="s">
        <v>22</v>
      </c>
      <c r="E923" s="4" t="s">
        <v>46</v>
      </c>
      <c r="F923" s="4" t="s">
        <v>41</v>
      </c>
      <c r="G923" s="4" t="s">
        <v>13</v>
      </c>
      <c r="H923" s="5">
        <v>15288.0</v>
      </c>
      <c r="I923" s="4" t="s">
        <v>42</v>
      </c>
    </row>
    <row r="924">
      <c r="A924" s="4" t="s">
        <v>1262</v>
      </c>
      <c r="B924" s="4" t="s">
        <v>543</v>
      </c>
      <c r="C924" s="4" t="s">
        <v>76</v>
      </c>
      <c r="D924" s="4" t="s">
        <v>24</v>
      </c>
      <c r="E924" s="4" t="s">
        <v>46</v>
      </c>
      <c r="F924" s="4" t="s">
        <v>21</v>
      </c>
      <c r="G924" s="4" t="s">
        <v>13</v>
      </c>
      <c r="H924" s="5">
        <v>9674.0</v>
      </c>
      <c r="I924" s="4" t="s">
        <v>37</v>
      </c>
    </row>
    <row r="925">
      <c r="A925" s="4" t="s">
        <v>1263</v>
      </c>
      <c r="B925" s="4" t="s">
        <v>85</v>
      </c>
      <c r="C925" s="4" t="s">
        <v>76</v>
      </c>
      <c r="D925" s="4" t="s">
        <v>24</v>
      </c>
      <c r="E925" s="4" t="s">
        <v>58</v>
      </c>
      <c r="F925" s="4" t="s">
        <v>41</v>
      </c>
      <c r="G925" s="4" t="s">
        <v>12</v>
      </c>
      <c r="H925" s="5">
        <v>8350.0</v>
      </c>
      <c r="I925" s="4"/>
    </row>
    <row r="926">
      <c r="A926" s="4" t="s">
        <v>1264</v>
      </c>
      <c r="B926" s="4" t="s">
        <v>213</v>
      </c>
      <c r="C926" s="4" t="s">
        <v>76</v>
      </c>
      <c r="D926" s="4" t="s">
        <v>24</v>
      </c>
      <c r="E926" s="4" t="s">
        <v>58</v>
      </c>
      <c r="F926" s="4" t="s">
        <v>21</v>
      </c>
      <c r="G926" s="4" t="s">
        <v>11</v>
      </c>
      <c r="H926" s="5">
        <v>10457.0</v>
      </c>
      <c r="I926" s="4" t="s">
        <v>37</v>
      </c>
    </row>
    <row r="927">
      <c r="A927" s="4" t="s">
        <v>1265</v>
      </c>
      <c r="B927" s="4" t="s">
        <v>600</v>
      </c>
      <c r="C927" s="4" t="s">
        <v>76</v>
      </c>
      <c r="D927" s="4" t="s">
        <v>24</v>
      </c>
      <c r="E927" s="4" t="s">
        <v>20</v>
      </c>
      <c r="F927" s="4" t="s">
        <v>21</v>
      </c>
      <c r="G927" s="4" t="s">
        <v>13</v>
      </c>
      <c r="H927" s="5">
        <v>9323.0</v>
      </c>
      <c r="I927" s="4" t="s">
        <v>42</v>
      </c>
    </row>
    <row r="928">
      <c r="A928" s="4" t="s">
        <v>1266</v>
      </c>
      <c r="B928" s="4" t="s">
        <v>374</v>
      </c>
      <c r="C928" s="4" t="s">
        <v>45</v>
      </c>
      <c r="D928" s="4" t="s">
        <v>22</v>
      </c>
      <c r="E928" s="4" t="s">
        <v>58</v>
      </c>
      <c r="F928" s="4" t="s">
        <v>41</v>
      </c>
      <c r="G928" s="4" t="s">
        <v>12</v>
      </c>
      <c r="H928" s="5">
        <v>18927.0</v>
      </c>
      <c r="I928" s="4" t="s">
        <v>37</v>
      </c>
    </row>
    <row r="929">
      <c r="A929" s="4" t="s">
        <v>1267</v>
      </c>
      <c r="B929" s="4" t="s">
        <v>138</v>
      </c>
      <c r="C929" s="4" t="s">
        <v>45</v>
      </c>
      <c r="D929" s="4" t="s">
        <v>22</v>
      </c>
      <c r="E929" s="4" t="s">
        <v>46</v>
      </c>
      <c r="F929" s="4" t="s">
        <v>21</v>
      </c>
      <c r="G929" s="4" t="s">
        <v>11</v>
      </c>
      <c r="H929" s="5">
        <v>17653.0</v>
      </c>
      <c r="I929" s="4" t="s">
        <v>23</v>
      </c>
    </row>
    <row r="930">
      <c r="A930" s="4" t="s">
        <v>1268</v>
      </c>
      <c r="B930" s="4" t="s">
        <v>233</v>
      </c>
      <c r="C930" s="4" t="s">
        <v>76</v>
      </c>
      <c r="D930" s="4" t="s">
        <v>24</v>
      </c>
      <c r="E930" s="4" t="s">
        <v>20</v>
      </c>
      <c r="F930" s="4" t="s">
        <v>41</v>
      </c>
      <c r="G930" s="4" t="s">
        <v>11</v>
      </c>
      <c r="H930" s="5">
        <v>9850.0</v>
      </c>
      <c r="I930" s="4"/>
    </row>
    <row r="931">
      <c r="A931" s="4" t="s">
        <v>1269</v>
      </c>
      <c r="B931" s="4" t="s">
        <v>36</v>
      </c>
      <c r="C931" s="4" t="s">
        <v>45</v>
      </c>
      <c r="D931" s="4" t="s">
        <v>22</v>
      </c>
      <c r="E931" s="4" t="s">
        <v>58</v>
      </c>
      <c r="F931" s="4" t="s">
        <v>41</v>
      </c>
      <c r="G931" s="4" t="s">
        <v>12</v>
      </c>
      <c r="H931" s="5">
        <v>16793.0</v>
      </c>
      <c r="I931" s="4" t="s">
        <v>23</v>
      </c>
    </row>
    <row r="932">
      <c r="A932" s="4" t="s">
        <v>1270</v>
      </c>
      <c r="B932" s="4" t="s">
        <v>244</v>
      </c>
      <c r="C932" s="4" t="s">
        <v>18</v>
      </c>
      <c r="D932" s="4" t="s">
        <v>16</v>
      </c>
      <c r="E932" s="4" t="s">
        <v>20</v>
      </c>
      <c r="F932" s="4" t="s">
        <v>52</v>
      </c>
      <c r="G932" s="4" t="s">
        <v>13</v>
      </c>
      <c r="H932" s="5">
        <v>14003.0</v>
      </c>
      <c r="I932" s="4"/>
    </row>
    <row r="933">
      <c r="A933" s="4" t="s">
        <v>1271</v>
      </c>
      <c r="B933" s="4" t="s">
        <v>172</v>
      </c>
      <c r="C933" s="4" t="s">
        <v>45</v>
      </c>
      <c r="D933" s="4" t="s">
        <v>22</v>
      </c>
      <c r="E933" s="4" t="s">
        <v>58</v>
      </c>
      <c r="F933" s="4" t="s">
        <v>52</v>
      </c>
      <c r="G933" s="4" t="s">
        <v>11</v>
      </c>
      <c r="H933" s="5">
        <v>18959.0</v>
      </c>
      <c r="I933" s="4" t="s">
        <v>37</v>
      </c>
    </row>
    <row r="934">
      <c r="A934" s="4" t="s">
        <v>1272</v>
      </c>
      <c r="B934" s="4" t="s">
        <v>424</v>
      </c>
      <c r="C934" s="4" t="s">
        <v>45</v>
      </c>
      <c r="D934" s="4" t="s">
        <v>22</v>
      </c>
      <c r="E934" s="4" t="s">
        <v>20</v>
      </c>
      <c r="F934" s="4" t="s">
        <v>41</v>
      </c>
      <c r="G934" s="4" t="s">
        <v>11</v>
      </c>
      <c r="H934" s="5">
        <v>15484.0</v>
      </c>
      <c r="I934" s="4" t="s">
        <v>23</v>
      </c>
    </row>
    <row r="935">
      <c r="A935" s="4" t="s">
        <v>1273</v>
      </c>
      <c r="B935" s="4" t="s">
        <v>122</v>
      </c>
      <c r="C935" s="4" t="s">
        <v>76</v>
      </c>
      <c r="D935" s="4" t="s">
        <v>24</v>
      </c>
      <c r="E935" s="4" t="s">
        <v>20</v>
      </c>
      <c r="F935" s="4" t="s">
        <v>52</v>
      </c>
      <c r="G935" s="4" t="s">
        <v>13</v>
      </c>
      <c r="H935" s="5">
        <v>10035.0</v>
      </c>
      <c r="I935" s="4" t="s">
        <v>42</v>
      </c>
    </row>
    <row r="936">
      <c r="A936" s="4" t="s">
        <v>1274</v>
      </c>
      <c r="B936" s="4" t="s">
        <v>503</v>
      </c>
      <c r="C936" s="4" t="s">
        <v>18</v>
      </c>
      <c r="D936" s="4" t="s">
        <v>16</v>
      </c>
      <c r="E936" s="4" t="s">
        <v>20</v>
      </c>
      <c r="F936" s="4" t="s">
        <v>41</v>
      </c>
      <c r="G936" s="4" t="s">
        <v>11</v>
      </c>
      <c r="H936" s="5">
        <v>14678.0</v>
      </c>
      <c r="I936" s="4" t="s">
        <v>37</v>
      </c>
    </row>
    <row r="937">
      <c r="A937" s="4" t="s">
        <v>1275</v>
      </c>
      <c r="B937" s="4" t="s">
        <v>75</v>
      </c>
      <c r="C937" s="4" t="s">
        <v>18</v>
      </c>
      <c r="D937" s="4" t="s">
        <v>16</v>
      </c>
      <c r="E937" s="4" t="s">
        <v>46</v>
      </c>
      <c r="F937" s="4" t="s">
        <v>52</v>
      </c>
      <c r="G937" s="4" t="s">
        <v>12</v>
      </c>
      <c r="H937" s="5">
        <v>12534.0</v>
      </c>
      <c r="I937" s="4" t="s">
        <v>37</v>
      </c>
    </row>
    <row r="938">
      <c r="A938" s="4" t="s">
        <v>1276</v>
      </c>
      <c r="B938" s="4" t="s">
        <v>1132</v>
      </c>
      <c r="C938" s="4" t="s">
        <v>45</v>
      </c>
      <c r="D938" s="4" t="s">
        <v>22</v>
      </c>
      <c r="E938" s="4" t="s">
        <v>46</v>
      </c>
      <c r="F938" s="4" t="s">
        <v>21</v>
      </c>
      <c r="G938" s="4" t="s">
        <v>12</v>
      </c>
      <c r="H938" s="5">
        <v>15699.0</v>
      </c>
      <c r="I938" s="4" t="s">
        <v>42</v>
      </c>
    </row>
    <row r="939">
      <c r="A939" s="4" t="s">
        <v>1277</v>
      </c>
      <c r="B939" s="4" t="s">
        <v>415</v>
      </c>
      <c r="C939" s="4" t="s">
        <v>18</v>
      </c>
      <c r="D939" s="4" t="s">
        <v>16</v>
      </c>
      <c r="E939" s="4" t="s">
        <v>46</v>
      </c>
      <c r="F939" s="4" t="s">
        <v>21</v>
      </c>
      <c r="G939" s="4" t="s">
        <v>12</v>
      </c>
      <c r="H939" s="5">
        <v>15273.0</v>
      </c>
      <c r="I939" s="4" t="s">
        <v>42</v>
      </c>
    </row>
    <row r="940">
      <c r="A940" s="4" t="s">
        <v>1278</v>
      </c>
      <c r="B940" s="4" t="s">
        <v>253</v>
      </c>
      <c r="C940" s="4" t="s">
        <v>57</v>
      </c>
      <c r="D940" s="4" t="s">
        <v>19</v>
      </c>
      <c r="E940" s="4" t="s">
        <v>58</v>
      </c>
      <c r="F940" s="4" t="s">
        <v>21</v>
      </c>
      <c r="G940" s="4" t="s">
        <v>12</v>
      </c>
      <c r="H940" s="5">
        <v>13778.0</v>
      </c>
      <c r="I940" s="4"/>
    </row>
    <row r="941">
      <c r="A941" s="4" t="s">
        <v>1279</v>
      </c>
      <c r="B941" s="4" t="s">
        <v>36</v>
      </c>
      <c r="C941" s="4" t="s">
        <v>57</v>
      </c>
      <c r="D941" s="4" t="s">
        <v>19</v>
      </c>
      <c r="E941" s="4" t="s">
        <v>58</v>
      </c>
      <c r="F941" s="4" t="s">
        <v>41</v>
      </c>
      <c r="G941" s="4" t="s">
        <v>13</v>
      </c>
      <c r="H941" s="5">
        <v>13429.0</v>
      </c>
      <c r="I941" s="4" t="s">
        <v>23</v>
      </c>
    </row>
    <row r="942">
      <c r="A942" s="4" t="s">
        <v>1280</v>
      </c>
      <c r="B942" s="4" t="s">
        <v>102</v>
      </c>
      <c r="C942" s="4" t="s">
        <v>45</v>
      </c>
      <c r="D942" s="4" t="s">
        <v>22</v>
      </c>
      <c r="E942" s="4" t="s">
        <v>46</v>
      </c>
      <c r="F942" s="4" t="s">
        <v>21</v>
      </c>
      <c r="G942" s="4" t="s">
        <v>13</v>
      </c>
      <c r="H942" s="5">
        <v>17852.0</v>
      </c>
      <c r="I942" s="4" t="s">
        <v>47</v>
      </c>
    </row>
    <row r="943">
      <c r="A943" s="4" t="s">
        <v>1281</v>
      </c>
      <c r="B943" s="4" t="s">
        <v>529</v>
      </c>
      <c r="C943" s="4" t="s">
        <v>57</v>
      </c>
      <c r="D943" s="4" t="s">
        <v>19</v>
      </c>
      <c r="E943" s="4" t="s">
        <v>20</v>
      </c>
      <c r="F943" s="4" t="s">
        <v>41</v>
      </c>
      <c r="G943" s="4" t="s">
        <v>13</v>
      </c>
      <c r="H943" s="5">
        <v>11409.0</v>
      </c>
      <c r="I943" s="4" t="s">
        <v>42</v>
      </c>
    </row>
    <row r="944">
      <c r="A944" s="4" t="s">
        <v>1282</v>
      </c>
      <c r="B944" s="4" t="s">
        <v>92</v>
      </c>
      <c r="C944" s="4" t="s">
        <v>18</v>
      </c>
      <c r="D944" s="4" t="s">
        <v>16</v>
      </c>
      <c r="E944" s="4" t="s">
        <v>58</v>
      </c>
      <c r="F944" s="4" t="s">
        <v>41</v>
      </c>
      <c r="G944" s="4" t="s">
        <v>13</v>
      </c>
      <c r="H944" s="5">
        <v>12029.0</v>
      </c>
      <c r="I944" s="4" t="s">
        <v>23</v>
      </c>
    </row>
    <row r="945">
      <c r="A945" s="4" t="s">
        <v>1283</v>
      </c>
      <c r="B945" s="4" t="s">
        <v>220</v>
      </c>
      <c r="C945" s="4" t="s">
        <v>45</v>
      </c>
      <c r="D945" s="4" t="s">
        <v>22</v>
      </c>
      <c r="E945" s="4" t="s">
        <v>58</v>
      </c>
      <c r="F945" s="4" t="s">
        <v>52</v>
      </c>
      <c r="G945" s="4" t="s">
        <v>11</v>
      </c>
      <c r="H945" s="5">
        <v>17835.0</v>
      </c>
      <c r="I945" s="4" t="s">
        <v>23</v>
      </c>
    </row>
    <row r="946">
      <c r="A946" s="4" t="s">
        <v>1284</v>
      </c>
      <c r="B946" s="4" t="s">
        <v>148</v>
      </c>
      <c r="C946" s="4" t="s">
        <v>45</v>
      </c>
      <c r="D946" s="4" t="s">
        <v>22</v>
      </c>
      <c r="E946" s="4" t="s">
        <v>20</v>
      </c>
      <c r="F946" s="4" t="s">
        <v>21</v>
      </c>
      <c r="G946" s="4" t="s">
        <v>11</v>
      </c>
      <c r="H946" s="5">
        <v>15979.0</v>
      </c>
      <c r="I946" s="4" t="s">
        <v>23</v>
      </c>
    </row>
    <row r="947">
      <c r="A947" s="4" t="s">
        <v>1285</v>
      </c>
      <c r="B947" s="4" t="s">
        <v>564</v>
      </c>
      <c r="C947" s="4" t="s">
        <v>57</v>
      </c>
      <c r="D947" s="4" t="s">
        <v>19</v>
      </c>
      <c r="E947" s="4" t="s">
        <v>20</v>
      </c>
      <c r="F947" s="4" t="s">
        <v>21</v>
      </c>
      <c r="G947" s="4" t="s">
        <v>12</v>
      </c>
      <c r="H947" s="5">
        <v>14892.0</v>
      </c>
      <c r="I947" s="4" t="s">
        <v>37</v>
      </c>
    </row>
    <row r="948">
      <c r="A948" s="4" t="s">
        <v>1286</v>
      </c>
      <c r="B948" s="4" t="s">
        <v>493</v>
      </c>
      <c r="C948" s="4" t="s">
        <v>45</v>
      </c>
      <c r="D948" s="4" t="s">
        <v>22</v>
      </c>
      <c r="E948" s="4" t="s">
        <v>58</v>
      </c>
      <c r="F948" s="4" t="s">
        <v>21</v>
      </c>
      <c r="G948" s="4" t="s">
        <v>13</v>
      </c>
      <c r="H948" s="5">
        <v>17284.0</v>
      </c>
      <c r="I948" s="4" t="s">
        <v>23</v>
      </c>
    </row>
    <row r="949">
      <c r="A949" s="4" t="s">
        <v>1287</v>
      </c>
      <c r="B949" s="4" t="s">
        <v>300</v>
      </c>
      <c r="C949" s="4" t="s">
        <v>18</v>
      </c>
      <c r="D949" s="4" t="s">
        <v>16</v>
      </c>
      <c r="E949" s="4" t="s">
        <v>20</v>
      </c>
      <c r="F949" s="4" t="s">
        <v>21</v>
      </c>
      <c r="G949" s="4" t="s">
        <v>12</v>
      </c>
      <c r="H949" s="5">
        <v>14078.0</v>
      </c>
      <c r="I949" s="4" t="s">
        <v>23</v>
      </c>
    </row>
    <row r="950">
      <c r="A950" s="4" t="s">
        <v>1288</v>
      </c>
      <c r="B950" s="4" t="s">
        <v>526</v>
      </c>
      <c r="C950" s="4" t="s">
        <v>57</v>
      </c>
      <c r="D950" s="4" t="s">
        <v>19</v>
      </c>
      <c r="E950" s="4" t="s">
        <v>58</v>
      </c>
      <c r="F950" s="4" t="s">
        <v>41</v>
      </c>
      <c r="G950" s="4" t="s">
        <v>13</v>
      </c>
      <c r="H950" s="5">
        <v>11461.0</v>
      </c>
      <c r="I950" s="4" t="s">
        <v>23</v>
      </c>
    </row>
    <row r="951">
      <c r="A951" s="4" t="s">
        <v>1289</v>
      </c>
      <c r="B951" s="4" t="s">
        <v>1290</v>
      </c>
      <c r="C951" s="4" t="s">
        <v>76</v>
      </c>
      <c r="D951" s="4" t="s">
        <v>24</v>
      </c>
      <c r="E951" s="4" t="s">
        <v>46</v>
      </c>
      <c r="F951" s="4" t="s">
        <v>41</v>
      </c>
      <c r="G951" s="4" t="s">
        <v>12</v>
      </c>
      <c r="H951" s="5">
        <v>10779.0</v>
      </c>
      <c r="I951" s="4" t="s">
        <v>37</v>
      </c>
    </row>
    <row r="952">
      <c r="A952" s="4" t="s">
        <v>1291</v>
      </c>
      <c r="B952" s="4" t="s">
        <v>413</v>
      </c>
      <c r="C952" s="4" t="s">
        <v>45</v>
      </c>
      <c r="D952" s="4" t="s">
        <v>22</v>
      </c>
      <c r="E952" s="4" t="s">
        <v>46</v>
      </c>
      <c r="F952" s="4" t="s">
        <v>21</v>
      </c>
      <c r="G952" s="4" t="s">
        <v>11</v>
      </c>
      <c r="H952" s="5">
        <v>16369.0</v>
      </c>
      <c r="I952" s="4" t="s">
        <v>42</v>
      </c>
    </row>
    <row r="953">
      <c r="A953" s="4" t="s">
        <v>1292</v>
      </c>
      <c r="B953" s="4" t="s">
        <v>189</v>
      </c>
      <c r="C953" s="4" t="s">
        <v>76</v>
      </c>
      <c r="D953" s="4" t="s">
        <v>24</v>
      </c>
      <c r="E953" s="4" t="s">
        <v>46</v>
      </c>
      <c r="F953" s="4" t="s">
        <v>41</v>
      </c>
      <c r="G953" s="4" t="s">
        <v>12</v>
      </c>
      <c r="H953" s="5">
        <v>7214.0</v>
      </c>
      <c r="I953" s="4" t="s">
        <v>42</v>
      </c>
    </row>
    <row r="954">
      <c r="A954" s="4" t="s">
        <v>1293</v>
      </c>
      <c r="B954" s="4" t="s">
        <v>174</v>
      </c>
      <c r="C954" s="4" t="s">
        <v>18</v>
      </c>
      <c r="D954" s="4" t="s">
        <v>16</v>
      </c>
      <c r="E954" s="4" t="s">
        <v>58</v>
      </c>
      <c r="F954" s="4" t="s">
        <v>52</v>
      </c>
      <c r="G954" s="4" t="s">
        <v>13</v>
      </c>
      <c r="H954" s="5">
        <v>12290.0</v>
      </c>
      <c r="I954" s="4" t="s">
        <v>23</v>
      </c>
    </row>
    <row r="955">
      <c r="A955" s="4" t="s">
        <v>1294</v>
      </c>
      <c r="B955" s="4" t="s">
        <v>700</v>
      </c>
      <c r="C955" s="4" t="s">
        <v>45</v>
      </c>
      <c r="D955" s="4" t="s">
        <v>22</v>
      </c>
      <c r="E955" s="4" t="s">
        <v>58</v>
      </c>
      <c r="F955" s="4" t="s">
        <v>41</v>
      </c>
      <c r="G955" s="4" t="s">
        <v>12</v>
      </c>
      <c r="H955" s="5">
        <v>17772.0</v>
      </c>
      <c r="I955" s="4" t="s">
        <v>47</v>
      </c>
    </row>
    <row r="956">
      <c r="A956" s="4" t="s">
        <v>1295</v>
      </c>
      <c r="B956" s="4" t="s">
        <v>752</v>
      </c>
      <c r="C956" s="4" t="s">
        <v>45</v>
      </c>
      <c r="D956" s="4" t="s">
        <v>22</v>
      </c>
      <c r="E956" s="4" t="s">
        <v>46</v>
      </c>
      <c r="F956" s="4" t="s">
        <v>41</v>
      </c>
      <c r="G956" s="4" t="s">
        <v>13</v>
      </c>
      <c r="H956" s="5">
        <v>18021.0</v>
      </c>
      <c r="I956" s="4"/>
    </row>
    <row r="957">
      <c r="A957" s="4" t="s">
        <v>1296</v>
      </c>
      <c r="B957" s="4" t="s">
        <v>514</v>
      </c>
      <c r="C957" s="4" t="s">
        <v>57</v>
      </c>
      <c r="D957" s="4" t="s">
        <v>19</v>
      </c>
      <c r="E957" s="4" t="s">
        <v>46</v>
      </c>
      <c r="F957" s="4" t="s">
        <v>21</v>
      </c>
      <c r="G957" s="4" t="s">
        <v>12</v>
      </c>
      <c r="H957" s="5">
        <v>12984.0</v>
      </c>
      <c r="I957" s="4" t="s">
        <v>37</v>
      </c>
    </row>
    <row r="958">
      <c r="A958" s="4" t="s">
        <v>1297</v>
      </c>
      <c r="B958" s="4" t="s">
        <v>237</v>
      </c>
      <c r="C958" s="4" t="s">
        <v>57</v>
      </c>
      <c r="D958" s="4" t="s">
        <v>19</v>
      </c>
      <c r="E958" s="4" t="s">
        <v>20</v>
      </c>
      <c r="F958" s="4" t="s">
        <v>21</v>
      </c>
      <c r="G958" s="4" t="s">
        <v>13</v>
      </c>
      <c r="H958" s="5">
        <v>12586.0</v>
      </c>
      <c r="I958" s="4" t="s">
        <v>47</v>
      </c>
    </row>
    <row r="959">
      <c r="A959" s="4" t="s">
        <v>1298</v>
      </c>
      <c r="B959" s="4" t="s">
        <v>583</v>
      </c>
      <c r="C959" s="4" t="s">
        <v>57</v>
      </c>
      <c r="D959" s="4" t="s">
        <v>19</v>
      </c>
      <c r="E959" s="4" t="s">
        <v>20</v>
      </c>
      <c r="F959" s="4" t="s">
        <v>21</v>
      </c>
      <c r="G959" s="4" t="s">
        <v>11</v>
      </c>
      <c r="H959" s="5">
        <v>11828.0</v>
      </c>
      <c r="I959" s="4" t="s">
        <v>47</v>
      </c>
    </row>
    <row r="960">
      <c r="A960" s="4" t="s">
        <v>1299</v>
      </c>
      <c r="B960" s="4" t="s">
        <v>242</v>
      </c>
      <c r="C960" s="4" t="s">
        <v>18</v>
      </c>
      <c r="D960" s="4" t="s">
        <v>16</v>
      </c>
      <c r="E960" s="4" t="s">
        <v>58</v>
      </c>
      <c r="F960" s="4" t="s">
        <v>41</v>
      </c>
      <c r="G960" s="4" t="s">
        <v>13</v>
      </c>
      <c r="H960" s="5">
        <v>15488.0</v>
      </c>
      <c r="I960" s="4"/>
    </row>
    <row r="961">
      <c r="A961" s="4" t="s">
        <v>1300</v>
      </c>
      <c r="B961" s="4" t="s">
        <v>237</v>
      </c>
      <c r="C961" s="4" t="s">
        <v>45</v>
      </c>
      <c r="D961" s="4" t="s">
        <v>22</v>
      </c>
      <c r="E961" s="4" t="s">
        <v>46</v>
      </c>
      <c r="F961" s="4" t="s">
        <v>21</v>
      </c>
      <c r="G961" s="4" t="s">
        <v>12</v>
      </c>
      <c r="H961" s="5">
        <v>15642.0</v>
      </c>
      <c r="I961" s="4" t="s">
        <v>42</v>
      </c>
    </row>
    <row r="962">
      <c r="A962" s="4" t="s">
        <v>1301</v>
      </c>
      <c r="B962" s="4" t="s">
        <v>820</v>
      </c>
      <c r="C962" s="4" t="s">
        <v>57</v>
      </c>
      <c r="D962" s="4" t="s">
        <v>19</v>
      </c>
      <c r="E962" s="4" t="s">
        <v>46</v>
      </c>
      <c r="F962" s="4" t="s">
        <v>21</v>
      </c>
      <c r="G962" s="4" t="s">
        <v>12</v>
      </c>
      <c r="H962" s="5">
        <v>13003.0</v>
      </c>
      <c r="I962" s="4" t="s">
        <v>23</v>
      </c>
    </row>
    <row r="963">
      <c r="A963" s="4" t="s">
        <v>1302</v>
      </c>
      <c r="B963" s="4" t="s">
        <v>852</v>
      </c>
      <c r="C963" s="4" t="s">
        <v>76</v>
      </c>
      <c r="D963" s="4" t="s">
        <v>24</v>
      </c>
      <c r="E963" s="4" t="s">
        <v>58</v>
      </c>
      <c r="F963" s="4" t="s">
        <v>41</v>
      </c>
      <c r="G963" s="4" t="s">
        <v>12</v>
      </c>
      <c r="H963" s="5">
        <v>8753.0</v>
      </c>
      <c r="I963" s="4" t="s">
        <v>23</v>
      </c>
    </row>
    <row r="964">
      <c r="A964" s="4" t="s">
        <v>1303</v>
      </c>
      <c r="B964" s="4" t="s">
        <v>766</v>
      </c>
      <c r="C964" s="4" t="s">
        <v>57</v>
      </c>
      <c r="D964" s="4" t="s">
        <v>19</v>
      </c>
      <c r="E964" s="4" t="s">
        <v>20</v>
      </c>
      <c r="F964" s="4" t="s">
        <v>41</v>
      </c>
      <c r="G964" s="4" t="s">
        <v>12</v>
      </c>
      <c r="H964" s="5">
        <v>14679.0</v>
      </c>
      <c r="I964" s="4" t="s">
        <v>37</v>
      </c>
    </row>
    <row r="965">
      <c r="A965" s="4" t="s">
        <v>1304</v>
      </c>
      <c r="B965" s="4" t="s">
        <v>205</v>
      </c>
      <c r="C965" s="4" t="s">
        <v>76</v>
      </c>
      <c r="D965" s="4" t="s">
        <v>24</v>
      </c>
      <c r="E965" s="4" t="s">
        <v>20</v>
      </c>
      <c r="F965" s="4" t="s">
        <v>52</v>
      </c>
      <c r="G965" s="4" t="s">
        <v>13</v>
      </c>
      <c r="H965" s="5">
        <v>8743.0</v>
      </c>
      <c r="I965" s="4" t="s">
        <v>42</v>
      </c>
    </row>
    <row r="966">
      <c r="A966" s="4" t="s">
        <v>1305</v>
      </c>
      <c r="B966" s="4" t="s">
        <v>200</v>
      </c>
      <c r="C966" s="4" t="s">
        <v>18</v>
      </c>
      <c r="D966" s="4" t="s">
        <v>16</v>
      </c>
      <c r="E966" s="4" t="s">
        <v>58</v>
      </c>
      <c r="F966" s="4" t="s">
        <v>21</v>
      </c>
      <c r="G966" s="4" t="s">
        <v>13</v>
      </c>
      <c r="H966" s="5">
        <v>12340.0</v>
      </c>
      <c r="I966" s="4" t="s">
        <v>42</v>
      </c>
    </row>
    <row r="967">
      <c r="A967" s="4" t="s">
        <v>1306</v>
      </c>
      <c r="B967" s="4" t="s">
        <v>242</v>
      </c>
      <c r="C967" s="4" t="s">
        <v>76</v>
      </c>
      <c r="D967" s="4" t="s">
        <v>24</v>
      </c>
      <c r="E967" s="4" t="s">
        <v>46</v>
      </c>
      <c r="F967" s="4" t="s">
        <v>41</v>
      </c>
      <c r="G967" s="4" t="s">
        <v>11</v>
      </c>
      <c r="H967" s="5">
        <v>8211.0</v>
      </c>
      <c r="I967" s="4" t="s">
        <v>23</v>
      </c>
    </row>
    <row r="968">
      <c r="A968" s="4" t="s">
        <v>1307</v>
      </c>
      <c r="B968" s="4" t="s">
        <v>56</v>
      </c>
      <c r="C968" s="4" t="s">
        <v>76</v>
      </c>
      <c r="D968" s="4" t="s">
        <v>24</v>
      </c>
      <c r="E968" s="4" t="s">
        <v>20</v>
      </c>
      <c r="F968" s="4" t="s">
        <v>21</v>
      </c>
      <c r="G968" s="4" t="s">
        <v>13</v>
      </c>
      <c r="H968" s="5">
        <v>9880.0</v>
      </c>
      <c r="I968" s="4"/>
    </row>
    <row r="969">
      <c r="A969" s="4" t="s">
        <v>1308</v>
      </c>
      <c r="B969" s="4" t="s">
        <v>292</v>
      </c>
      <c r="C969" s="4" t="s">
        <v>18</v>
      </c>
      <c r="D969" s="4" t="s">
        <v>16</v>
      </c>
      <c r="E969" s="4" t="s">
        <v>58</v>
      </c>
      <c r="F969" s="4" t="s">
        <v>21</v>
      </c>
      <c r="G969" s="4" t="s">
        <v>13</v>
      </c>
      <c r="H969" s="5">
        <v>15580.0</v>
      </c>
      <c r="I969" s="4"/>
    </row>
    <row r="970">
      <c r="A970" s="4" t="s">
        <v>1309</v>
      </c>
      <c r="B970" s="4" t="s">
        <v>180</v>
      </c>
      <c r="C970" s="4" t="s">
        <v>45</v>
      </c>
      <c r="D970" s="4" t="s">
        <v>22</v>
      </c>
      <c r="E970" s="4" t="s">
        <v>20</v>
      </c>
      <c r="F970" s="4" t="s">
        <v>21</v>
      </c>
      <c r="G970" s="4" t="s">
        <v>12</v>
      </c>
      <c r="H970" s="5">
        <v>17594.0</v>
      </c>
      <c r="I970" s="4" t="s">
        <v>37</v>
      </c>
    </row>
    <row r="971">
      <c r="A971" s="4" t="s">
        <v>1310</v>
      </c>
      <c r="B971" s="4" t="s">
        <v>17</v>
      </c>
      <c r="C971" s="4" t="s">
        <v>76</v>
      </c>
      <c r="D971" s="4" t="s">
        <v>24</v>
      </c>
      <c r="E971" s="4" t="s">
        <v>20</v>
      </c>
      <c r="F971" s="4" t="s">
        <v>21</v>
      </c>
      <c r="G971" s="4" t="s">
        <v>12</v>
      </c>
      <c r="H971" s="5">
        <v>7133.0</v>
      </c>
      <c r="I971" s="4" t="s">
        <v>47</v>
      </c>
    </row>
    <row r="972">
      <c r="A972" s="4" t="s">
        <v>1311</v>
      </c>
      <c r="B972" s="4" t="s">
        <v>1173</v>
      </c>
      <c r="C972" s="4" t="s">
        <v>57</v>
      </c>
      <c r="D972" s="4" t="s">
        <v>19</v>
      </c>
      <c r="E972" s="4" t="s">
        <v>20</v>
      </c>
      <c r="F972" s="4" t="s">
        <v>41</v>
      </c>
      <c r="G972" s="4" t="s">
        <v>12</v>
      </c>
      <c r="H972" s="5">
        <v>14607.0</v>
      </c>
      <c r="I972" s="4" t="s">
        <v>47</v>
      </c>
    </row>
    <row r="973">
      <c r="A973" s="4" t="s">
        <v>1312</v>
      </c>
      <c r="B973" s="4" t="s">
        <v>1087</v>
      </c>
      <c r="C973" s="4" t="s">
        <v>45</v>
      </c>
      <c r="D973" s="4" t="s">
        <v>22</v>
      </c>
      <c r="E973" s="4" t="s">
        <v>46</v>
      </c>
      <c r="F973" s="4" t="s">
        <v>41</v>
      </c>
      <c r="G973" s="4" t="s">
        <v>11</v>
      </c>
      <c r="H973" s="5">
        <v>16497.0</v>
      </c>
      <c r="I973" s="4"/>
    </row>
    <row r="974">
      <c r="A974" s="4" t="s">
        <v>1313</v>
      </c>
      <c r="B974" s="4" t="s">
        <v>163</v>
      </c>
      <c r="C974" s="4" t="s">
        <v>45</v>
      </c>
      <c r="D974" s="4" t="s">
        <v>22</v>
      </c>
      <c r="E974" s="4" t="s">
        <v>46</v>
      </c>
      <c r="F974" s="4" t="s">
        <v>52</v>
      </c>
      <c r="G974" s="4" t="s">
        <v>12</v>
      </c>
      <c r="H974" s="5">
        <v>17887.0</v>
      </c>
      <c r="I974" s="4" t="s">
        <v>37</v>
      </c>
    </row>
    <row r="975">
      <c r="A975" s="4" t="s">
        <v>1314</v>
      </c>
      <c r="B975" s="4" t="s">
        <v>368</v>
      </c>
      <c r="C975" s="4" t="s">
        <v>57</v>
      </c>
      <c r="D975" s="4" t="s">
        <v>19</v>
      </c>
      <c r="E975" s="4" t="s">
        <v>46</v>
      </c>
      <c r="F975" s="4" t="s">
        <v>21</v>
      </c>
      <c r="G975" s="4" t="s">
        <v>13</v>
      </c>
      <c r="H975" s="5">
        <v>13210.0</v>
      </c>
      <c r="I975" s="4" t="s">
        <v>37</v>
      </c>
    </row>
    <row r="976">
      <c r="A976" s="4" t="s">
        <v>1315</v>
      </c>
      <c r="B976" s="4" t="s">
        <v>583</v>
      </c>
      <c r="C976" s="4" t="s">
        <v>57</v>
      </c>
      <c r="D976" s="4" t="s">
        <v>19</v>
      </c>
      <c r="E976" s="4" t="s">
        <v>20</v>
      </c>
      <c r="F976" s="4" t="s">
        <v>41</v>
      </c>
      <c r="G976" s="4" t="s">
        <v>11</v>
      </c>
      <c r="H976" s="5">
        <v>12444.0</v>
      </c>
      <c r="I976" s="4" t="s">
        <v>47</v>
      </c>
    </row>
    <row r="977">
      <c r="A977" s="4" t="s">
        <v>1316</v>
      </c>
      <c r="B977" s="4" t="s">
        <v>119</v>
      </c>
      <c r="C977" s="4" t="s">
        <v>45</v>
      </c>
      <c r="D977" s="4" t="s">
        <v>22</v>
      </c>
      <c r="E977" s="4" t="s">
        <v>46</v>
      </c>
      <c r="F977" s="4" t="s">
        <v>41</v>
      </c>
      <c r="G977" s="4" t="s">
        <v>11</v>
      </c>
      <c r="H977" s="5">
        <v>16414.0</v>
      </c>
      <c r="I977" s="4"/>
    </row>
    <row r="978">
      <c r="A978" s="4" t="s">
        <v>1317</v>
      </c>
      <c r="B978" s="4" t="s">
        <v>215</v>
      </c>
      <c r="C978" s="4" t="s">
        <v>18</v>
      </c>
      <c r="D978" s="4" t="s">
        <v>16</v>
      </c>
      <c r="E978" s="4" t="s">
        <v>58</v>
      </c>
      <c r="F978" s="4" t="s">
        <v>52</v>
      </c>
      <c r="G978" s="4" t="s">
        <v>12</v>
      </c>
      <c r="H978" s="5">
        <v>14778.0</v>
      </c>
      <c r="I978" s="4" t="s">
        <v>42</v>
      </c>
    </row>
    <row r="979">
      <c r="A979" s="4" t="s">
        <v>1318</v>
      </c>
      <c r="B979" s="4" t="s">
        <v>60</v>
      </c>
      <c r="C979" s="4" t="s">
        <v>45</v>
      </c>
      <c r="D979" s="4" t="s">
        <v>22</v>
      </c>
      <c r="E979" s="4" t="s">
        <v>20</v>
      </c>
      <c r="F979" s="4" t="s">
        <v>52</v>
      </c>
      <c r="G979" s="4" t="s">
        <v>13</v>
      </c>
      <c r="H979" s="5">
        <v>15771.0</v>
      </c>
      <c r="I979" s="4"/>
    </row>
    <row r="980">
      <c r="A980" s="4" t="s">
        <v>1319</v>
      </c>
      <c r="B980" s="4" t="s">
        <v>82</v>
      </c>
      <c r="C980" s="4" t="s">
        <v>57</v>
      </c>
      <c r="D980" s="4" t="s">
        <v>19</v>
      </c>
      <c r="E980" s="4" t="s">
        <v>58</v>
      </c>
      <c r="F980" s="4" t="s">
        <v>41</v>
      </c>
      <c r="G980" s="4" t="s">
        <v>13</v>
      </c>
      <c r="H980" s="5">
        <v>11674.0</v>
      </c>
      <c r="I980" s="4" t="s">
        <v>47</v>
      </c>
    </row>
    <row r="981">
      <c r="A981" s="4" t="s">
        <v>1320</v>
      </c>
      <c r="B981" s="4" t="s">
        <v>195</v>
      </c>
      <c r="C981" s="4" t="s">
        <v>76</v>
      </c>
      <c r="D981" s="4" t="s">
        <v>24</v>
      </c>
      <c r="E981" s="4" t="s">
        <v>46</v>
      </c>
      <c r="F981" s="4" t="s">
        <v>41</v>
      </c>
      <c r="G981" s="4" t="s">
        <v>12</v>
      </c>
      <c r="H981" s="5">
        <v>10899.0</v>
      </c>
      <c r="I981" s="4" t="s">
        <v>37</v>
      </c>
    </row>
    <row r="982">
      <c r="A982" s="4" t="s">
        <v>1321</v>
      </c>
      <c r="B982" s="4" t="s">
        <v>366</v>
      </c>
      <c r="C982" s="4" t="s">
        <v>57</v>
      </c>
      <c r="D982" s="4" t="s">
        <v>19</v>
      </c>
      <c r="E982" s="4" t="s">
        <v>58</v>
      </c>
      <c r="F982" s="4" t="s">
        <v>21</v>
      </c>
      <c r="G982" s="4" t="s">
        <v>11</v>
      </c>
      <c r="H982" s="5">
        <v>12818.0</v>
      </c>
      <c r="I982" s="4" t="s">
        <v>37</v>
      </c>
    </row>
    <row r="983">
      <c r="A983" s="4" t="s">
        <v>1322</v>
      </c>
      <c r="B983" s="4" t="s">
        <v>288</v>
      </c>
      <c r="C983" s="4" t="s">
        <v>18</v>
      </c>
      <c r="D983" s="4" t="s">
        <v>16</v>
      </c>
      <c r="E983" s="4" t="s">
        <v>46</v>
      </c>
      <c r="F983" s="4" t="s">
        <v>52</v>
      </c>
      <c r="G983" s="4" t="s">
        <v>12</v>
      </c>
      <c r="H983" s="5">
        <v>13375.0</v>
      </c>
      <c r="I983" s="4"/>
    </row>
    <row r="984">
      <c r="A984" s="4" t="s">
        <v>1323</v>
      </c>
      <c r="B984" s="4" t="s">
        <v>192</v>
      </c>
      <c r="C984" s="4" t="s">
        <v>45</v>
      </c>
      <c r="D984" s="4" t="s">
        <v>22</v>
      </c>
      <c r="E984" s="4" t="s">
        <v>58</v>
      </c>
      <c r="F984" s="4" t="s">
        <v>52</v>
      </c>
      <c r="G984" s="4" t="s">
        <v>12</v>
      </c>
      <c r="H984" s="5">
        <v>17854.0</v>
      </c>
      <c r="I984" s="4" t="s">
        <v>42</v>
      </c>
    </row>
    <row r="985">
      <c r="A985" s="4" t="s">
        <v>1324</v>
      </c>
      <c r="B985" s="4" t="s">
        <v>644</v>
      </c>
      <c r="C985" s="4" t="s">
        <v>76</v>
      </c>
      <c r="D985" s="4" t="s">
        <v>24</v>
      </c>
      <c r="E985" s="4" t="s">
        <v>58</v>
      </c>
      <c r="F985" s="4" t="s">
        <v>52</v>
      </c>
      <c r="G985" s="4" t="s">
        <v>13</v>
      </c>
      <c r="H985" s="5">
        <v>10679.0</v>
      </c>
      <c r="I985" s="4" t="s">
        <v>47</v>
      </c>
    </row>
    <row r="986">
      <c r="A986" s="4" t="s">
        <v>1325</v>
      </c>
      <c r="B986" s="4" t="s">
        <v>1173</v>
      </c>
      <c r="C986" s="4" t="s">
        <v>57</v>
      </c>
      <c r="D986" s="4" t="s">
        <v>19</v>
      </c>
      <c r="E986" s="4" t="s">
        <v>58</v>
      </c>
      <c r="F986" s="4" t="s">
        <v>21</v>
      </c>
      <c r="G986" s="4" t="s">
        <v>11</v>
      </c>
      <c r="H986" s="5">
        <v>14152.0</v>
      </c>
      <c r="I986" s="4" t="s">
        <v>37</v>
      </c>
    </row>
    <row r="987">
      <c r="A987" s="4" t="s">
        <v>1326</v>
      </c>
      <c r="B987" s="4" t="s">
        <v>1205</v>
      </c>
      <c r="C987" s="4" t="s">
        <v>76</v>
      </c>
      <c r="D987" s="4" t="s">
        <v>24</v>
      </c>
      <c r="E987" s="4" t="s">
        <v>46</v>
      </c>
      <c r="F987" s="4" t="s">
        <v>52</v>
      </c>
      <c r="G987" s="4" t="s">
        <v>13</v>
      </c>
      <c r="H987" s="5">
        <v>9915.0</v>
      </c>
      <c r="I987" s="4" t="s">
        <v>42</v>
      </c>
    </row>
    <row r="988">
      <c r="A988" s="4" t="s">
        <v>1327</v>
      </c>
      <c r="B988" s="4" t="s">
        <v>223</v>
      </c>
      <c r="C988" s="4" t="s">
        <v>57</v>
      </c>
      <c r="D988" s="4" t="s">
        <v>19</v>
      </c>
      <c r="E988" s="4" t="s">
        <v>46</v>
      </c>
      <c r="F988" s="4" t="s">
        <v>41</v>
      </c>
      <c r="G988" s="4" t="s">
        <v>13</v>
      </c>
      <c r="H988" s="5">
        <v>11168.0</v>
      </c>
      <c r="I988" s="4" t="s">
        <v>47</v>
      </c>
    </row>
    <row r="989">
      <c r="A989" s="4" t="s">
        <v>1328</v>
      </c>
      <c r="B989" s="4" t="s">
        <v>529</v>
      </c>
      <c r="C989" s="4" t="s">
        <v>45</v>
      </c>
      <c r="D989" s="4" t="s">
        <v>22</v>
      </c>
      <c r="E989" s="4" t="s">
        <v>58</v>
      </c>
      <c r="F989" s="4" t="s">
        <v>41</v>
      </c>
      <c r="G989" s="4" t="s">
        <v>13</v>
      </c>
      <c r="H989" s="5">
        <v>17303.0</v>
      </c>
      <c r="I989" s="4" t="s">
        <v>37</v>
      </c>
    </row>
    <row r="990">
      <c r="A990" s="4" t="s">
        <v>1329</v>
      </c>
      <c r="B990" s="4" t="s">
        <v>374</v>
      </c>
      <c r="C990" s="4" t="s">
        <v>57</v>
      </c>
      <c r="D990" s="4" t="s">
        <v>19</v>
      </c>
      <c r="E990" s="4" t="s">
        <v>58</v>
      </c>
      <c r="F990" s="4" t="s">
        <v>21</v>
      </c>
      <c r="G990" s="4" t="s">
        <v>12</v>
      </c>
      <c r="H990" s="5">
        <v>14995.0</v>
      </c>
      <c r="I990" s="4" t="s">
        <v>23</v>
      </c>
    </row>
    <row r="991">
      <c r="A991" s="4" t="s">
        <v>1330</v>
      </c>
      <c r="B991" s="4" t="s">
        <v>280</v>
      </c>
      <c r="C991" s="4" t="s">
        <v>18</v>
      </c>
      <c r="D991" s="4" t="s">
        <v>16</v>
      </c>
      <c r="E991" s="4" t="s">
        <v>58</v>
      </c>
      <c r="F991" s="4" t="s">
        <v>21</v>
      </c>
      <c r="G991" s="4" t="s">
        <v>13</v>
      </c>
      <c r="H991" s="5">
        <v>15882.0</v>
      </c>
      <c r="I991" s="4"/>
    </row>
    <row r="992">
      <c r="A992" s="4" t="s">
        <v>1331</v>
      </c>
      <c r="B992" s="4" t="s">
        <v>828</v>
      </c>
      <c r="C992" s="4" t="s">
        <v>18</v>
      </c>
      <c r="D992" s="4" t="s">
        <v>16</v>
      </c>
      <c r="E992" s="4" t="s">
        <v>20</v>
      </c>
      <c r="F992" s="4" t="s">
        <v>52</v>
      </c>
      <c r="G992" s="4" t="s">
        <v>12</v>
      </c>
      <c r="H992" s="5">
        <v>13356.0</v>
      </c>
      <c r="I992" s="4" t="s">
        <v>47</v>
      </c>
    </row>
    <row r="993">
      <c r="A993" s="4" t="s">
        <v>1332</v>
      </c>
      <c r="B993" s="4" t="s">
        <v>145</v>
      </c>
      <c r="C993" s="4" t="s">
        <v>57</v>
      </c>
      <c r="D993" s="4" t="s">
        <v>19</v>
      </c>
      <c r="E993" s="4" t="s">
        <v>20</v>
      </c>
      <c r="F993" s="4" t="s">
        <v>52</v>
      </c>
      <c r="G993" s="4" t="s">
        <v>11</v>
      </c>
      <c r="H993" s="5">
        <v>12387.0</v>
      </c>
      <c r="I993" s="4" t="s">
        <v>37</v>
      </c>
    </row>
    <row r="994">
      <c r="A994" s="4" t="s">
        <v>1333</v>
      </c>
      <c r="B994" s="4" t="s">
        <v>811</v>
      </c>
      <c r="C994" s="4" t="s">
        <v>57</v>
      </c>
      <c r="D994" s="4" t="s">
        <v>19</v>
      </c>
      <c r="E994" s="4" t="s">
        <v>20</v>
      </c>
      <c r="F994" s="4" t="s">
        <v>52</v>
      </c>
      <c r="G994" s="4" t="s">
        <v>13</v>
      </c>
      <c r="H994" s="5">
        <v>12261.0</v>
      </c>
      <c r="I994" s="4" t="s">
        <v>37</v>
      </c>
    </row>
    <row r="995">
      <c r="A995" s="4" t="s">
        <v>1334</v>
      </c>
      <c r="B995" s="4" t="s">
        <v>937</v>
      </c>
      <c r="C995" s="4" t="s">
        <v>57</v>
      </c>
      <c r="D995" s="4" t="s">
        <v>19</v>
      </c>
      <c r="E995" s="4" t="s">
        <v>58</v>
      </c>
      <c r="F995" s="4" t="s">
        <v>21</v>
      </c>
      <c r="G995" s="4" t="s">
        <v>13</v>
      </c>
      <c r="H995" s="5">
        <v>12336.0</v>
      </c>
      <c r="I995" s="4" t="s">
        <v>37</v>
      </c>
    </row>
    <row r="996">
      <c r="A996" s="4" t="s">
        <v>1335</v>
      </c>
      <c r="B996" s="4" t="s">
        <v>298</v>
      </c>
      <c r="C996" s="4" t="s">
        <v>57</v>
      </c>
      <c r="D996" s="4" t="s">
        <v>19</v>
      </c>
      <c r="E996" s="4" t="s">
        <v>58</v>
      </c>
      <c r="F996" s="4" t="s">
        <v>41</v>
      </c>
      <c r="G996" s="4" t="s">
        <v>13</v>
      </c>
      <c r="H996" s="5">
        <v>11342.0</v>
      </c>
      <c r="I996" s="4" t="s">
        <v>42</v>
      </c>
    </row>
    <row r="997">
      <c r="A997" s="4" t="s">
        <v>1336</v>
      </c>
      <c r="B997" s="4" t="s">
        <v>429</v>
      </c>
      <c r="C997" s="4" t="s">
        <v>18</v>
      </c>
      <c r="D997" s="4" t="s">
        <v>16</v>
      </c>
      <c r="E997" s="4" t="s">
        <v>20</v>
      </c>
      <c r="F997" s="4" t="s">
        <v>21</v>
      </c>
      <c r="G997" s="4" t="s">
        <v>13</v>
      </c>
      <c r="H997" s="5">
        <v>14008.0</v>
      </c>
      <c r="I997" s="4" t="s">
        <v>47</v>
      </c>
    </row>
    <row r="998">
      <c r="A998" s="4" t="s">
        <v>1337</v>
      </c>
      <c r="B998" s="4" t="s">
        <v>113</v>
      </c>
      <c r="C998" s="4" t="s">
        <v>18</v>
      </c>
      <c r="D998" s="4" t="s">
        <v>16</v>
      </c>
      <c r="E998" s="4" t="s">
        <v>20</v>
      </c>
      <c r="F998" s="4" t="s">
        <v>21</v>
      </c>
      <c r="G998" s="4" t="s">
        <v>11</v>
      </c>
      <c r="H998" s="5">
        <v>12605.0</v>
      </c>
      <c r="I998" s="4"/>
    </row>
    <row r="999">
      <c r="A999" s="4" t="s">
        <v>1338</v>
      </c>
      <c r="B999" s="4" t="s">
        <v>574</v>
      </c>
      <c r="C999" s="4" t="s">
        <v>18</v>
      </c>
      <c r="D999" s="4" t="s">
        <v>16</v>
      </c>
      <c r="E999" s="4" t="s">
        <v>58</v>
      </c>
      <c r="F999" s="4" t="s">
        <v>21</v>
      </c>
      <c r="G999" s="4" t="s">
        <v>11</v>
      </c>
      <c r="H999" s="5">
        <v>13261.0</v>
      </c>
      <c r="I999" s="4"/>
    </row>
    <row r="1000">
      <c r="A1000" s="4" t="s">
        <v>1339</v>
      </c>
      <c r="B1000" s="4" t="s">
        <v>1005</v>
      </c>
      <c r="C1000" s="4" t="s">
        <v>57</v>
      </c>
      <c r="D1000" s="4" t="s">
        <v>19</v>
      </c>
      <c r="E1000" s="4" t="s">
        <v>20</v>
      </c>
      <c r="F1000" s="4" t="s">
        <v>21</v>
      </c>
      <c r="G1000" s="4" t="s">
        <v>12</v>
      </c>
      <c r="H1000" s="5">
        <v>12702.0</v>
      </c>
      <c r="I1000" s="4"/>
    </row>
    <row r="1001">
      <c r="A1001" s="4" t="s">
        <v>1340</v>
      </c>
      <c r="B1001" s="4" t="s">
        <v>174</v>
      </c>
      <c r="C1001" s="4" t="s">
        <v>76</v>
      </c>
      <c r="D1001" s="4" t="s">
        <v>24</v>
      </c>
      <c r="E1001" s="4" t="s">
        <v>20</v>
      </c>
      <c r="F1001" s="4" t="s">
        <v>21</v>
      </c>
      <c r="G1001" s="4" t="s">
        <v>13</v>
      </c>
      <c r="H1001" s="5">
        <v>10422.0</v>
      </c>
      <c r="I1001" s="4" t="s">
        <v>42</v>
      </c>
    </row>
    <row r="1002">
      <c r="A1002" s="4" t="s">
        <v>1341</v>
      </c>
      <c r="B1002" s="4" t="s">
        <v>943</v>
      </c>
      <c r="C1002" s="4" t="s">
        <v>57</v>
      </c>
      <c r="D1002" s="4" t="s">
        <v>19</v>
      </c>
      <c r="E1002" s="4" t="s">
        <v>58</v>
      </c>
      <c r="F1002" s="4" t="s">
        <v>21</v>
      </c>
      <c r="G1002" s="4" t="s">
        <v>12</v>
      </c>
      <c r="H1002" s="5">
        <v>12373.0</v>
      </c>
      <c r="I1002" s="4" t="s">
        <v>37</v>
      </c>
    </row>
  </sheetData>
  <mergeCells count="1">
    <mergeCell ref="A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3" t="s">
        <v>2</v>
      </c>
      <c r="B1" s="3"/>
      <c r="C1" s="3"/>
      <c r="D1" s="3"/>
      <c r="E1" s="3"/>
      <c r="F1" s="3"/>
    </row>
    <row r="2">
      <c r="A2" s="3"/>
      <c r="B2" s="3" t="s">
        <v>11</v>
      </c>
      <c r="C2" s="3" t="s">
        <v>8</v>
      </c>
      <c r="D2" s="3" t="s">
        <v>12</v>
      </c>
      <c r="E2" s="3" t="s">
        <v>13</v>
      </c>
      <c r="F2" s="3" t="s">
        <v>14</v>
      </c>
    </row>
    <row r="3">
      <c r="A3" s="3" t="s">
        <v>5</v>
      </c>
      <c r="B3" s="3"/>
      <c r="C3" s="3">
        <v>0.0</v>
      </c>
      <c r="D3" s="3"/>
      <c r="E3" s="3"/>
      <c r="F3" s="3">
        <v>0.0</v>
      </c>
    </row>
    <row r="4">
      <c r="A4" s="3" t="s">
        <v>16</v>
      </c>
      <c r="B4" s="3">
        <v>1119871.0</v>
      </c>
      <c r="C4" s="3"/>
      <c r="D4" s="3">
        <v>1458981.0</v>
      </c>
      <c r="E4" s="3">
        <v>928879.0</v>
      </c>
      <c r="F4" s="3">
        <v>3507731.0</v>
      </c>
    </row>
    <row r="5">
      <c r="A5" s="3" t="s">
        <v>19</v>
      </c>
      <c r="B5" s="3">
        <v>1167543.0</v>
      </c>
      <c r="C5" s="3"/>
      <c r="D5" s="3">
        <v>921127.0</v>
      </c>
      <c r="E5" s="3">
        <v>1067078.0</v>
      </c>
      <c r="F5" s="3">
        <v>3155748.0</v>
      </c>
    </row>
    <row r="6">
      <c r="A6" s="3" t="s">
        <v>22</v>
      </c>
      <c r="B6" s="3">
        <v>1348435.0</v>
      </c>
      <c r="C6" s="3"/>
      <c r="D6" s="3">
        <v>1729206.0</v>
      </c>
      <c r="E6" s="3">
        <v>1462566.0</v>
      </c>
      <c r="F6" s="3">
        <v>4540207.0</v>
      </c>
    </row>
    <row r="7">
      <c r="A7" s="3" t="s">
        <v>24</v>
      </c>
      <c r="B7" s="3">
        <v>660619.0</v>
      </c>
      <c r="C7" s="3"/>
      <c r="D7" s="3">
        <v>792176.0</v>
      </c>
      <c r="E7" s="3">
        <v>738812.0</v>
      </c>
      <c r="F7" s="3">
        <v>2191607.0</v>
      </c>
    </row>
    <row r="8">
      <c r="A8" s="3" t="s">
        <v>14</v>
      </c>
      <c r="B8" s="3">
        <v>4296468.0</v>
      </c>
      <c r="C8" s="3">
        <v>0.0</v>
      </c>
      <c r="D8" s="3">
        <v>4901490.0</v>
      </c>
      <c r="E8" s="3">
        <v>4197335.0</v>
      </c>
      <c r="F8" s="3">
        <v>1.3395293E7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23">
      <c r="C23" s="3" t="s">
        <v>307</v>
      </c>
      <c r="D23" s="3" t="s">
        <v>2</v>
      </c>
    </row>
    <row r="24">
      <c r="C24" s="21" t="s">
        <v>308</v>
      </c>
      <c r="D24" s="3">
        <v>161936.0</v>
      </c>
    </row>
    <row r="25">
      <c r="C25" s="21" t="s">
        <v>177</v>
      </c>
      <c r="D25" s="3">
        <v>261440.0</v>
      </c>
    </row>
    <row r="26">
      <c r="C26" s="21" t="s">
        <v>183</v>
      </c>
      <c r="D26" s="3">
        <v>204770.0</v>
      </c>
    </row>
    <row r="27">
      <c r="C27" s="21" t="s">
        <v>114</v>
      </c>
      <c r="D27" s="3">
        <v>199617.0</v>
      </c>
    </row>
    <row r="28">
      <c r="C28" s="21" t="s">
        <v>312</v>
      </c>
      <c r="D28" s="3">
        <v>179391.0</v>
      </c>
    </row>
    <row r="29">
      <c r="C29" s="21" t="s">
        <v>103</v>
      </c>
      <c r="D29" s="3">
        <v>270558.0</v>
      </c>
    </row>
    <row r="30">
      <c r="C30" s="21" t="s">
        <v>313</v>
      </c>
      <c r="D30" s="3">
        <v>191419.0</v>
      </c>
    </row>
    <row r="31">
      <c r="C31" s="21" t="s">
        <v>316</v>
      </c>
      <c r="D31" s="3">
        <v>336213.0</v>
      </c>
    </row>
    <row r="32">
      <c r="C32" s="21" t="s">
        <v>317</v>
      </c>
      <c r="D32" s="3">
        <v>107147.0</v>
      </c>
    </row>
    <row r="33">
      <c r="C33" s="3" t="s">
        <v>164</v>
      </c>
      <c r="D33" s="3">
        <v>199804.0</v>
      </c>
    </row>
    <row r="34">
      <c r="C34" s="3" t="s">
        <v>238</v>
      </c>
      <c r="D34" s="3">
        <v>302492.0</v>
      </c>
    </row>
    <row r="35">
      <c r="C35" s="3" t="s">
        <v>65</v>
      </c>
      <c r="D35" s="3">
        <v>217338.0</v>
      </c>
    </row>
    <row r="36">
      <c r="C36" s="3" t="s">
        <v>96</v>
      </c>
      <c r="D36" s="3">
        <v>316241.0</v>
      </c>
    </row>
    <row r="37">
      <c r="C37" s="3" t="s">
        <v>221</v>
      </c>
      <c r="D37" s="3">
        <v>203617.0</v>
      </c>
    </row>
    <row r="38">
      <c r="C38" s="3" t="s">
        <v>83</v>
      </c>
      <c r="D38" s="3">
        <v>143078.0</v>
      </c>
    </row>
    <row r="39">
      <c r="C39" s="3" t="s">
        <v>245</v>
      </c>
      <c r="D39" s="3">
        <v>182609.0</v>
      </c>
    </row>
    <row r="40">
      <c r="C40" s="3" t="s">
        <v>319</v>
      </c>
      <c r="D40" s="3">
        <v>265262.0</v>
      </c>
    </row>
    <row r="41">
      <c r="C41" s="3" t="s">
        <v>320</v>
      </c>
      <c r="D41" s="3">
        <v>163020.0</v>
      </c>
    </row>
    <row r="42">
      <c r="C42" s="3" t="s">
        <v>38</v>
      </c>
      <c r="D42" s="3">
        <v>202544.0</v>
      </c>
    </row>
    <row r="43">
      <c r="C43" s="3" t="s">
        <v>73</v>
      </c>
      <c r="D43" s="3">
        <v>216819.0</v>
      </c>
    </row>
    <row r="44">
      <c r="C44" s="3" t="s">
        <v>323</v>
      </c>
      <c r="D44" s="3">
        <v>227143.0</v>
      </c>
    </row>
    <row r="45">
      <c r="C45" s="3" t="s">
        <v>268</v>
      </c>
      <c r="D45" s="3">
        <v>192966.0</v>
      </c>
    </row>
    <row r="46">
      <c r="C46" s="3" t="s">
        <v>324</v>
      </c>
      <c r="D46" s="3">
        <v>320636.0</v>
      </c>
    </row>
    <row r="47">
      <c r="C47" s="21" t="s">
        <v>211</v>
      </c>
      <c r="D47" s="3">
        <v>136605.0</v>
      </c>
    </row>
    <row r="48">
      <c r="C48" s="21" t="s">
        <v>155</v>
      </c>
      <c r="D48" s="3">
        <v>184870.0</v>
      </c>
    </row>
    <row r="49">
      <c r="C49" s="3" t="s">
        <v>327</v>
      </c>
      <c r="D49" s="3">
        <v>163589.0</v>
      </c>
    </row>
    <row r="50">
      <c r="C50" s="3" t="s">
        <v>328</v>
      </c>
      <c r="D50" s="3">
        <v>225521.0</v>
      </c>
    </row>
    <row r="51">
      <c r="C51" s="3" t="s">
        <v>303</v>
      </c>
      <c r="D51" s="3">
        <v>186635.0</v>
      </c>
    </row>
    <row r="52">
      <c r="C52" s="3" t="s">
        <v>330</v>
      </c>
      <c r="D52" s="3">
        <v>216208.0</v>
      </c>
    </row>
    <row r="53">
      <c r="C53" s="3" t="s">
        <v>332</v>
      </c>
      <c r="D53" s="3">
        <v>265339.0</v>
      </c>
    </row>
    <row r="54">
      <c r="C54" s="3" t="s">
        <v>333</v>
      </c>
      <c r="D54" s="3">
        <v>182214.0</v>
      </c>
    </row>
    <row r="55">
      <c r="C55" s="3" t="s">
        <v>334</v>
      </c>
      <c r="D55" s="3">
        <v>166927.0</v>
      </c>
    </row>
    <row r="56">
      <c r="C56" s="3" t="s">
        <v>106</v>
      </c>
      <c r="D56" s="3">
        <v>247834.0</v>
      </c>
    </row>
    <row r="57">
      <c r="C57" s="3" t="s">
        <v>336</v>
      </c>
      <c r="D57" s="3">
        <v>193036.0</v>
      </c>
    </row>
    <row r="58">
      <c r="C58" s="3" t="s">
        <v>77</v>
      </c>
      <c r="D58" s="3">
        <v>192549.0</v>
      </c>
    </row>
    <row r="59">
      <c r="C59" s="3" t="s">
        <v>88</v>
      </c>
      <c r="D59" s="3">
        <v>256568.0</v>
      </c>
    </row>
    <row r="60">
      <c r="C60" s="3" t="s">
        <v>139</v>
      </c>
      <c r="D60" s="3">
        <v>349802.0</v>
      </c>
    </row>
    <row r="61">
      <c r="C61" s="3" t="s">
        <v>314</v>
      </c>
      <c r="D61" s="3">
        <v>205589.0</v>
      </c>
    </row>
    <row r="62">
      <c r="C62" s="3" t="s">
        <v>337</v>
      </c>
      <c r="D62" s="3">
        <v>141422.0</v>
      </c>
    </row>
    <row r="63">
      <c r="C63" s="3" t="s">
        <v>68</v>
      </c>
      <c r="D63" s="3">
        <v>168096.0</v>
      </c>
    </row>
    <row r="64">
      <c r="C64" s="3" t="s">
        <v>338</v>
      </c>
      <c r="D64" s="3">
        <v>223348.0</v>
      </c>
    </row>
    <row r="65">
      <c r="C65" s="3" t="s">
        <v>117</v>
      </c>
      <c r="D65" s="3">
        <v>175577.0</v>
      </c>
    </row>
    <row r="66">
      <c r="C66" s="3" t="s">
        <v>340</v>
      </c>
      <c r="D66" s="3">
        <v>209695.0</v>
      </c>
    </row>
    <row r="67">
      <c r="C67" s="3" t="s">
        <v>203</v>
      </c>
      <c r="D67" s="3">
        <v>182261.0</v>
      </c>
    </row>
    <row r="68">
      <c r="C68" s="3" t="s">
        <v>80</v>
      </c>
      <c r="D68" s="3">
        <v>256904.0</v>
      </c>
    </row>
    <row r="69">
      <c r="C69" s="21" t="s">
        <v>341</v>
      </c>
      <c r="D69" s="3">
        <v>314040.0</v>
      </c>
    </row>
    <row r="70">
      <c r="C70" s="21" t="s">
        <v>344</v>
      </c>
      <c r="D70" s="3">
        <v>224221.0</v>
      </c>
    </row>
    <row r="71">
      <c r="C71" s="3" t="s">
        <v>345</v>
      </c>
      <c r="D71" s="3">
        <v>215513.0</v>
      </c>
    </row>
    <row r="72">
      <c r="C72" s="3" t="s">
        <v>283</v>
      </c>
      <c r="D72" s="3">
        <v>209371.0</v>
      </c>
    </row>
    <row r="73">
      <c r="C73" s="21" t="s">
        <v>347</v>
      </c>
      <c r="D73" s="3">
        <v>143966.0</v>
      </c>
    </row>
    <row r="74">
      <c r="C74" s="21" t="s">
        <v>348</v>
      </c>
      <c r="D74" s="3">
        <v>206052.0</v>
      </c>
    </row>
    <row r="75">
      <c r="C75" s="21" t="s">
        <v>109</v>
      </c>
      <c r="D75" s="3">
        <v>339278.0</v>
      </c>
    </row>
    <row r="76">
      <c r="C76" s="21" t="s">
        <v>349</v>
      </c>
      <c r="D76" s="3">
        <v>247614.0</v>
      </c>
    </row>
    <row r="77">
      <c r="C77" s="21" t="s">
        <v>123</v>
      </c>
      <c r="D77" s="3">
        <v>373577.0</v>
      </c>
    </row>
    <row r="78">
      <c r="C78" s="21" t="s">
        <v>352</v>
      </c>
      <c r="D78" s="3">
        <v>320412.0</v>
      </c>
    </row>
    <row r="79">
      <c r="C79" s="21" t="s">
        <v>234</v>
      </c>
      <c r="D79" s="3">
        <v>179545.0</v>
      </c>
    </row>
    <row r="80">
      <c r="C80" s="21" t="s">
        <v>275</v>
      </c>
      <c r="D80" s="3">
        <v>180294.0</v>
      </c>
    </row>
    <row r="81">
      <c r="C81" s="21" t="s">
        <v>147</v>
      </c>
      <c r="D81" s="3">
        <v>156469.0</v>
      </c>
    </row>
    <row r="82">
      <c r="C82" s="21" t="s">
        <v>130</v>
      </c>
      <c r="D82" s="3">
        <v>230175.0</v>
      </c>
    </row>
    <row r="83">
      <c r="C83" s="21" t="s">
        <v>353</v>
      </c>
      <c r="D83" s="3">
        <v>207877.0</v>
      </c>
    </row>
    <row r="84">
      <c r="C84" s="21" t="s">
        <v>322</v>
      </c>
      <c r="D84" s="3">
        <v>250240.0</v>
      </c>
    </row>
    <row r="85">
      <c r="C85" s="3" t="s">
        <v>14</v>
      </c>
      <c r="D85" s="3">
        <v>1.3395293E7</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8.5"/>
  </cols>
  <sheetData>
    <row r="1"/>
    <row r="2"/>
    <row r="3"/>
    <row r="4"/>
    <row r="5"/>
    <row r="6"/>
    <row r="7"/>
    <row r="11">
      <c r="B11" s="18" t="s">
        <v>227</v>
      </c>
      <c r="C11" s="3" t="str">
        <f t="array" ref="C11">INDEX(A3:A6,MATCH(MAX(B3:D6),BYROW(B3:D6,LAMBDA(r,MAX(r))),0))</f>
        <v>Full Stack Dev</v>
      </c>
    </row>
    <row r="12">
      <c r="B12" s="18" t="s">
        <v>8</v>
      </c>
      <c r="C12" s="18" t="str">
        <f t="array" ref="C12">INDEX(B2:D2,MATCH(MAX(B3:D6),INDEX(B3:D6,MATCH("Full Stack Dev",A3:A6,0),0),0))</f>
        <v>Tablet</v>
      </c>
    </row>
    <row r="13">
      <c r="B13" s="18" t="s">
        <v>235</v>
      </c>
      <c r="C13" s="18">
        <f>MAX(B3:D6)</f>
        <v>1729206</v>
      </c>
    </row>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1601-01-01T00:00:00Z</dcterms:created>
</cp:coreProperties>
</file>

<file path=docProps/custom.xml><?xml version="1.0" encoding="utf-8"?>
<Properties xmlns="http://schemas.openxmlformats.org/officeDocument/2006/custom-properties" xmlns:vt="http://schemas.openxmlformats.org/officeDocument/2006/docPropsVTypes"/>
</file>